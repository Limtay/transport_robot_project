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J\Desktop\Swarm_GIT\transport_robot_project\stm_ws\ref_map\"/>
    </mc:Choice>
  </mc:AlternateContent>
  <xr:revisionPtr revIDLastSave="0" documentId="13_ncr:1_{CDD5E8A5-9D4A-4AF4-AF51-53B664872E8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dbus" sheetId="1" r:id="rId1"/>
    <sheet name="Register_map_ECU" sheetId="2" r:id="rId2"/>
    <sheet name="Register_map_DPC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I28" i="3"/>
  <c r="J28" i="3" s="1"/>
  <c r="A31" i="3"/>
  <c r="A29" i="3"/>
  <c r="I48" i="2"/>
  <c r="H44" i="2"/>
  <c r="A5" i="3"/>
  <c r="A6" i="3" s="1"/>
  <c r="A7" i="3" s="1"/>
  <c r="A8" i="3" s="1"/>
  <c r="A9" i="3" s="1"/>
  <c r="A10" i="3" s="1"/>
  <c r="H3" i="3"/>
  <c r="A5" i="2"/>
  <c r="A6" i="2" s="1"/>
  <c r="A7" i="2" s="1"/>
  <c r="A8" i="2" s="1"/>
  <c r="A9" i="2" s="1"/>
  <c r="A10" i="2" s="1"/>
  <c r="H3" i="2"/>
  <c r="I3" i="2" l="1"/>
  <c r="J3" i="2" s="1"/>
  <c r="A12" i="2"/>
  <c r="I3" i="3"/>
  <c r="J3" i="3" s="1"/>
  <c r="A12" i="3"/>
  <c r="A14" i="3" l="1"/>
  <c r="I11" i="3"/>
  <c r="H11" i="3"/>
  <c r="I11" i="2"/>
  <c r="A14" i="2"/>
  <c r="H11" i="2"/>
  <c r="H13" i="2" l="1"/>
  <c r="A15" i="2"/>
  <c r="A16" i="2" s="1"/>
  <c r="A17" i="2" s="1"/>
  <c r="A18" i="2" s="1"/>
  <c r="A19" i="2" s="1"/>
  <c r="A20" i="2" s="1"/>
  <c r="A21" i="2" s="1"/>
  <c r="A22" i="2" s="1"/>
  <c r="A23" i="2" s="1"/>
  <c r="A24" i="2" s="1"/>
  <c r="J11" i="2"/>
  <c r="J11" i="3"/>
  <c r="H13" i="3"/>
  <c r="A15" i="3"/>
  <c r="A16" i="3" s="1"/>
  <c r="A17" i="3" s="1"/>
  <c r="A18" i="3" s="1"/>
  <c r="A19" i="3" s="1"/>
  <c r="A20" i="3" s="1"/>
  <c r="A21" i="3" s="1"/>
  <c r="A22" i="3" s="1"/>
  <c r="A23" i="3" s="1"/>
  <c r="I13" i="3" l="1"/>
  <c r="J13" i="3" s="1"/>
  <c r="A25" i="3"/>
  <c r="H24" i="3" s="1"/>
  <c r="I13" i="2"/>
  <c r="J13" i="2" s="1"/>
  <c r="A26" i="2"/>
  <c r="A26" i="3" l="1"/>
  <c r="A27" i="3" s="1"/>
  <c r="A27" i="2"/>
  <c r="A28" i="2" s="1"/>
  <c r="A29" i="2" s="1"/>
  <c r="A30" i="2" s="1"/>
  <c r="A31" i="2" s="1"/>
  <c r="A32" i="2" s="1"/>
  <c r="A33" i="2" s="1"/>
  <c r="A34" i="2" s="1"/>
  <c r="A35" i="2" s="1"/>
  <c r="A36" i="2" s="1"/>
  <c r="H25" i="2"/>
  <c r="A38" i="2" l="1"/>
  <c r="I25" i="2"/>
  <c r="J25" i="2" s="1"/>
  <c r="I24" i="3"/>
  <c r="J24" i="3" s="1"/>
  <c r="A32" i="3" l="1"/>
  <c r="A33" i="3" s="1"/>
  <c r="A34" i="3" s="1"/>
  <c r="A35" i="3" s="1"/>
  <c r="A36" i="3" s="1"/>
  <c r="A37" i="3" s="1"/>
  <c r="A38" i="3" s="1"/>
  <c r="H30" i="3"/>
  <c r="A39" i="2"/>
  <c r="A40" i="2" s="1"/>
  <c r="A41" i="2" s="1"/>
  <c r="A42" i="2" s="1"/>
  <c r="A43" i="2" s="1"/>
  <c r="H37" i="2"/>
  <c r="A40" i="3" l="1"/>
  <c r="I30" i="3"/>
  <c r="J30" i="3" s="1"/>
  <c r="I37" i="2"/>
  <c r="J37" i="2" s="1"/>
  <c r="A45" i="2"/>
  <c r="I44" i="2" l="1"/>
  <c r="J44" i="2" s="1"/>
  <c r="A47" i="2"/>
  <c r="H39" i="3"/>
  <c r="A41" i="3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I39" i="3" s="1"/>
  <c r="J39" i="3" l="1"/>
  <c r="A57" i="3"/>
  <c r="A49" i="2"/>
  <c r="I46" i="2"/>
  <c r="J46" i="2" s="1"/>
  <c r="H46" i="2"/>
  <c r="A50" i="2" l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H48" i="2"/>
  <c r="A59" i="3"/>
  <c r="H56" i="3"/>
  <c r="I56" i="3"/>
  <c r="J56" i="3" l="1"/>
  <c r="A69" i="2"/>
  <c r="J48" i="2"/>
  <c r="A60" i="3"/>
  <c r="H58" i="3"/>
  <c r="A70" i="2" l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H68" i="2"/>
  <c r="A62" i="3"/>
  <c r="I58" i="3"/>
  <c r="J58" i="3" s="1"/>
  <c r="A63" i="3" l="1"/>
  <c r="A64" i="3" s="1"/>
  <c r="A65" i="3" s="1"/>
  <c r="A66" i="3" s="1"/>
  <c r="A67" i="3" s="1"/>
  <c r="H61" i="3"/>
  <c r="A86" i="2"/>
  <c r="I68" i="2"/>
  <c r="J68" i="2" s="1"/>
  <c r="H85" i="2" l="1"/>
  <c r="A87" i="2"/>
  <c r="A88" i="2" s="1"/>
  <c r="A89" i="2" s="1"/>
  <c r="A90" i="2" s="1"/>
  <c r="A91" i="2" s="1"/>
  <c r="I61" i="3"/>
  <c r="J61" i="3" s="1"/>
  <c r="A69" i="3"/>
  <c r="A70" i="3" l="1"/>
  <c r="A71" i="3" s="1"/>
  <c r="A72" i="3" s="1"/>
  <c r="A73" i="3" s="1"/>
  <c r="A74" i="3" s="1"/>
  <c r="A75" i="3" s="1"/>
  <c r="A76" i="3" s="1"/>
  <c r="A77" i="3" s="1"/>
  <c r="H68" i="3"/>
  <c r="A93" i="2"/>
  <c r="I85" i="2"/>
  <c r="J85" i="2" s="1"/>
  <c r="A95" i="2" l="1"/>
  <c r="A96" i="2" s="1"/>
  <c r="I92" i="2"/>
  <c r="H92" i="2"/>
  <c r="A79" i="3"/>
  <c r="I68" i="3"/>
  <c r="J68" i="3" s="1"/>
  <c r="A81" i="3" l="1"/>
  <c r="A82" i="3" s="1"/>
  <c r="I78" i="3"/>
  <c r="H78" i="3"/>
  <c r="J92" i="2"/>
  <c r="A97" i="2"/>
  <c r="I94" i="2"/>
  <c r="H94" i="2"/>
  <c r="J94" i="2" l="1"/>
  <c r="J78" i="3"/>
  <c r="I80" i="3"/>
  <c r="H80" i="3"/>
  <c r="A83" i="3"/>
  <c r="J80" i="3" l="1"/>
</calcChain>
</file>

<file path=xl/sharedStrings.xml><?xml version="1.0" encoding="utf-8"?>
<sst xmlns="http://schemas.openxmlformats.org/spreadsheetml/2006/main" count="1440" uniqueCount="439">
  <si>
    <t>Type [Size]</t>
  </si>
  <si>
    <t>Data name</t>
  </si>
  <si>
    <t>Data</t>
  </si>
  <si>
    <t>Header</t>
  </si>
  <si>
    <t>[0:1]</t>
  </si>
  <si>
    <t>Header 1</t>
  </si>
  <si>
    <t>0xAA</t>
  </si>
  <si>
    <t>Header 2</t>
  </si>
  <si>
    <t>0x55</t>
  </si>
  <si>
    <t>ID
(Target)</t>
  </si>
  <si>
    <t>[2]</t>
  </si>
  <si>
    <t>Orin</t>
  </si>
  <si>
    <t>0x01</t>
  </si>
  <si>
    <t>DPC-A</t>
  </si>
  <si>
    <t>0xD2</t>
  </si>
  <si>
    <t>DPC-B</t>
  </si>
  <si>
    <t>0xD1</t>
  </si>
  <si>
    <t>ECU</t>
  </si>
  <si>
    <t>0xE1</t>
  </si>
  <si>
    <t>PRA</t>
  </si>
  <si>
    <t>0xA1</t>
  </si>
  <si>
    <t>Query</t>
  </si>
  <si>
    <t>Response</t>
  </si>
  <si>
    <t>Length</t>
  </si>
  <si>
    <t>[3-4]</t>
  </si>
  <si>
    <t>(Parameter + 3)</t>
  </si>
  <si>
    <t>L | H</t>
  </si>
  <si>
    <t>Prameters</t>
  </si>
  <si>
    <t>Data Len</t>
  </si>
  <si>
    <t>Inst</t>
  </si>
  <si>
    <t>[5]</t>
  </si>
  <si>
    <t>Ping</t>
  </si>
  <si>
    <t>-</t>
  </si>
  <si>
    <t>ERR</t>
  </si>
  <si>
    <t>Read</t>
  </si>
  <si>
    <t>0x02</t>
  </si>
  <si>
    <t>IDX(L)</t>
  </si>
  <si>
    <t>IDX(H)</t>
  </si>
  <si>
    <t>LEN(L)</t>
  </si>
  <si>
    <t>LEN(H)</t>
  </si>
  <si>
    <t>Data[0:N]</t>
  </si>
  <si>
    <t>1+LEN</t>
  </si>
  <si>
    <t>Write</t>
  </si>
  <si>
    <t>0x03</t>
  </si>
  <si>
    <t>Reboot</t>
  </si>
  <si>
    <t>0x08</t>
  </si>
  <si>
    <t>[6 : N+5]</t>
  </si>
  <si>
    <t>CRC</t>
  </si>
  <si>
    <t>[N+6 : N+7]</t>
  </si>
  <si>
    <t>Health Code</t>
  </si>
  <si>
    <t>값 (Dec)</t>
  </si>
  <si>
    <t>상태 이름 (Constant)</t>
  </si>
  <si>
    <t>설명</t>
  </si>
  <si>
    <t>비고</t>
  </si>
  <si>
    <t>HC_OK</t>
  </si>
  <si>
    <t>결함 없음</t>
  </si>
  <si>
    <t>정상</t>
  </si>
  <si>
    <t>HC_INFO</t>
  </si>
  <si>
    <t>통계적 이벤트 (재시도 1회 성공 등)</t>
  </si>
  <si>
    <t>정보</t>
  </si>
  <si>
    <t>HC_TIMEOUT</t>
  </si>
  <si>
    <t>응답 타임아웃 (재시도로 회복)</t>
  </si>
  <si>
    <t>경고</t>
  </si>
  <si>
    <t>HC_CRC_ERR</t>
  </si>
  <si>
    <t>체크섬/CRC 불일치</t>
  </si>
  <si>
    <t>HC_FRAMING_ERR</t>
  </si>
  <si>
    <t>UART framing, CAN form error</t>
  </si>
  <si>
    <t>HC_OVERRUN</t>
  </si>
  <si>
    <t>RX 버퍼/FIFO 오버런</t>
  </si>
  <si>
    <t>HC_DATA_RANGE</t>
  </si>
  <si>
    <t>디코딩은 됐지만 값이 범위 밖</t>
  </si>
  <si>
    <t>HC_PROTOCOL_ERR</t>
  </si>
  <si>
    <t>알 수 없는 명령/잘못된 시퀀스</t>
  </si>
  <si>
    <t>에러</t>
  </si>
  <si>
    <t>HC_ACK_FAIL</t>
  </si>
  <si>
    <t>I2C NACK, RS485 응답 없음</t>
  </si>
  <si>
    <t>HC_PARAM_ERR</t>
  </si>
  <si>
    <t>설정값 부정합 (자가진단 실패)</t>
  </si>
  <si>
    <t>HC_HW_FAULT</t>
  </si>
  <si>
    <t>페리페럴 자체 결함 (HAL_ERROR)</t>
  </si>
  <si>
    <t xml:space="preserve"> </t>
  </si>
  <si>
    <t>HC_BUS_WARNING</t>
  </si>
  <si>
    <t>CAN error counter ≥ 96 등</t>
  </si>
  <si>
    <t>심각</t>
  </si>
  <si>
    <t>HC_BUS_PASSIVE</t>
  </si>
  <si>
    <t>CAN error passive (≥ 128)</t>
  </si>
  <si>
    <t>HC_BUS_OFF</t>
  </si>
  <si>
    <t>물리적 단절, 자동/수동 복구 필요</t>
  </si>
  <si>
    <t>HC_UNRECOVERABLE</t>
  </si>
  <si>
    <t>해당 채널 완전 실패</t>
  </si>
  <si>
    <t>치명</t>
  </si>
  <si>
    <t>HC_FATAL</t>
  </si>
  <si>
    <t>시스템 차원 결함, WDT reset 권장</t>
  </si>
  <si>
    <t>Lifecycle State</t>
  </si>
  <si>
    <t>LS_INIT</t>
  </si>
  <si>
    <t>부팅 / RECOVERY 후 초기화 진행 중 (memset 0 = 이 값)</t>
  </si>
  <si>
    <t>LS_READY</t>
  </si>
  <si>
    <t>초기화 완료, 첫 패킷 수신 대기 (핸드셰이크 단계)</t>
  </si>
  <si>
    <t>LS_RUNNING</t>
  </si>
  <si>
    <t>정상 송수신 중 (최근 N ms 내 유효 트래픽)</t>
  </si>
  <si>
    <t>LS_DEGRADED</t>
  </si>
  <si>
    <t>통신 동작 중이나 최근 에러율 높음 (decay 카운터 임계 초과)</t>
  </si>
  <si>
    <t>LS_RECOVERING</t>
  </si>
  <si>
    <t>상위 명령으로 복구 시퀀스 실행 중 (이후 LS_INIT 으로 전이)</t>
  </si>
  <si>
    <t>reserved</t>
  </si>
  <si>
    <t>LS_OFFLINE</t>
  </si>
  <si>
    <t>복구 불가 / 채널 영구 비활성 (미구현 모듈 포함)</t>
  </si>
  <si>
    <t>Error Number</t>
  </si>
  <si>
    <t>Error</t>
  </si>
  <si>
    <t>Result Fail</t>
  </si>
  <si>
    <t>전송된 Instruction Packet 을 처리하는데 실패한 경우</t>
  </si>
  <si>
    <t>Instruction Error</t>
  </si>
  <si>
    <t>정의되지 않은 Instruction 을 사용한 경우</t>
  </si>
  <si>
    <t>CRC Error</t>
  </si>
  <si>
    <t>전송된 Packet 의 CRC 값이 맞지 않는 경우</t>
  </si>
  <si>
    <t>0x04</t>
  </si>
  <si>
    <t>Data Range Error</t>
  </si>
  <si>
    <t>해당 Address 에 쓰려는 Data 가 최소/최대값의 범위를 벗어난 경우</t>
  </si>
  <si>
    <t>0x05</t>
  </si>
  <si>
    <t>Data Length Error</t>
  </si>
  <si>
    <t>해당 Address 의 데이터 길이보다 짧은 데이터를 적으려고 한 경우</t>
  </si>
  <si>
    <t>0x06</t>
  </si>
  <si>
    <t>Data Limit Error</t>
  </si>
  <si>
    <t>해당 Address 에 쓰려는 Data 가 Limit 값을 벗어난 경우</t>
  </si>
  <si>
    <t>0x07</t>
  </si>
  <si>
    <t>Access Error</t>
  </si>
  <si>
    <t>Read Only 혹은 정의되지 않은 Address 에 값을 쓰려고 한 경우</t>
  </si>
  <si>
    <t>Write Only 혹은 정의되지 않은 Address 에 값을 읽으려고 한 경우</t>
  </si>
  <si>
    <t>ROM Lock 상태에서 ROM 영역에 값을 쓰려고 한 경우</t>
  </si>
  <si>
    <t>Type</t>
  </si>
  <si>
    <t>Mean</t>
  </si>
  <si>
    <t>Motor 
err
code</t>
  </si>
  <si>
    <t>no fault</t>
  </si>
  <si>
    <t>motor over-temperature fault</t>
  </si>
  <si>
    <t>over-current fault</t>
  </si>
  <si>
    <t>over-voltage fault</t>
  </si>
  <si>
    <t>under-voltagev fault</t>
  </si>
  <si>
    <t>encoder fault</t>
  </si>
  <si>
    <t>MOSFET over-temperature fault</t>
  </si>
  <si>
    <t>motor lock-up</t>
  </si>
  <si>
    <t>Addr(dec)</t>
  </si>
  <si>
    <t>Size(byte)</t>
  </si>
  <si>
    <t>Group</t>
  </si>
  <si>
    <t>Sub</t>
  </si>
  <si>
    <t>Name</t>
  </si>
  <si>
    <t>Access</t>
  </si>
  <si>
    <t>Default</t>
  </si>
  <si>
    <t>Range</t>
  </si>
  <si>
    <t>Scale/Unit</t>
  </si>
  <si>
    <t>Bit/State Def</t>
  </si>
  <si>
    <t>Note</t>
  </si>
  <si>
    <t>Total 256 byte | 1 addr = 1 byte | Little-Endian | 실제값 = raw × Scale</t>
  </si>
  <si>
    <t>====================================================</t>
  </si>
  <si>
    <t xml:space="preserve"> [DEFINE]  </t>
  </si>
  <si>
    <t>시스템 설정 파라미터  ===============================================</t>
  </si>
  <si>
    <t>DEFINE</t>
  </si>
  <si>
    <t>SYS_WRITE_MODE</t>
  </si>
  <si>
    <t>R/W</t>
  </si>
  <si>
    <t>uint8_t</t>
  </si>
  <si>
    <t>0~1</t>
  </si>
  <si>
    <t>—</t>
  </si>
  <si>
    <t>\</t>
  </si>
  <si>
    <t>DEFINE 영역 R/W 레지스터 쓰기 허용 키</t>
  </si>
  <si>
    <t>ERR_TIMEOUT</t>
  </si>
  <si>
    <t>10 - 500</t>
  </si>
  <si>
    <t>ms</t>
  </si>
  <si>
    <t>HW Time</t>
  </si>
  <si>
    <t>FATAL_TIMEOUT</t>
  </si>
  <si>
    <t>0 - 100</t>
  </si>
  <si>
    <t>100 ms</t>
  </si>
  <si>
    <t xml:space="preserve">0 = FATAL 감지 X </t>
  </si>
  <si>
    <t>ERR_CNT</t>
  </si>
  <si>
    <t>0 - 10</t>
  </si>
  <si>
    <t>count</t>
  </si>
  <si>
    <t>FATAL_CNT</t>
  </si>
  <si>
    <t>RD_SYSTEM_Checker 임계 카운트</t>
  </si>
  <si>
    <t>hw_reset</t>
  </si>
  <si>
    <t>bitfield</t>
  </si>
  <si>
    <t>UART1 | UART2 | UART6 | CAN1 | I2C1 | RSVD</t>
  </si>
  <si>
    <t>1 세트 시 해당 HW 소프트 리셋 트리거</t>
  </si>
  <si>
    <t>RESERVED</t>
  </si>
  <si>
    <t>미래 확장용</t>
  </si>
  <si>
    <t xml:space="preserve"> [RESERVED]  </t>
  </si>
  <si>
    <t>미래 확장용  ===============================================</t>
  </si>
  <si>
    <t>읽으면 0x00 반환 / 쓰기 무시</t>
  </si>
  <si>
    <t xml:space="preserve"> [SYSTEM]  </t>
  </si>
  <si>
    <t>시스템 상태  ===============================================</t>
  </si>
  <si>
    <t>DIAG</t>
  </si>
  <si>
    <t>cmd</t>
  </si>
  <si>
    <t>degarded_cnt[0]</t>
  </si>
  <si>
    <t>R/O</t>
  </si>
  <si>
    <t>0~100</t>
  </si>
  <si>
    <t>%</t>
  </si>
  <si>
    <t>(uint8_t)((input * 26) &gt;&gt; 8);</t>
  </si>
  <si>
    <t>uart1</t>
  </si>
  <si>
    <t>degarded_cnt[1]</t>
  </si>
  <si>
    <t>(동일)</t>
  </si>
  <si>
    <t>uart2</t>
  </si>
  <si>
    <t>degarded_cnt[2]</t>
  </si>
  <si>
    <t>uart6</t>
  </si>
  <si>
    <t>degarded_cnt[3]</t>
  </si>
  <si>
    <t>can1</t>
  </si>
  <si>
    <t>degarded_cnt[4]</t>
  </si>
  <si>
    <t>i2c1</t>
  </si>
  <si>
    <t>degarded_cnt[5-8]</t>
  </si>
  <si>
    <t>RSVD</t>
  </si>
  <si>
    <t>SYSTEM</t>
  </si>
  <si>
    <t>hw_fatal</t>
  </si>
  <si>
    <t>(동일 비트 구성)</t>
  </si>
  <si>
    <t>재초기화 필요 수준의 치명 에러 발생 플래그</t>
  </si>
  <si>
    <t>hw_error</t>
  </si>
  <si>
    <t>현재 활성 에러 상태 플래그 (Hardware_Error_FLAG_t 매핑)</t>
  </si>
  <si>
    <t>sys_state</t>
  </si>
  <si>
    <t>0~5</t>
  </si>
  <si>
    <t>0=INIT 
1=MANUAL
2=AUTO 
3=ESTOP_SW
4=ESTOP_HW
5=FAULT</t>
  </si>
  <si>
    <t>SYSTEM_STATE_e 참조 (rd_system.h)</t>
  </si>
  <si>
    <t>realtime_tick</t>
  </si>
  <si>
    <t>uint32_t</t>
  </si>
  <si>
    <t>0~4294967295</t>
  </si>
  <si>
    <t>TIM5 1kHz 카운터 (tim_cnt) — ECU alive time 계산용</t>
  </si>
  <si>
    <t>=======================================</t>
  </si>
  <si>
    <t xml:space="preserve"> [SENSOR / IMU]  </t>
  </si>
  <si>
    <t>쿼터니언 / 자이로 / 가속도 (미구현)   ===================================</t>
  </si>
  <si>
    <t>SENSOR</t>
  </si>
  <si>
    <t>IMU</t>
  </si>
  <si>
    <t>quat_z</t>
  </si>
  <si>
    <t>int16_t</t>
  </si>
  <si>
    <t>×0.0001 [무단위]</t>
  </si>
  <si>
    <t>quat[0] — TODO: 미구현</t>
  </si>
  <si>
    <t>quat_y</t>
  </si>
  <si>
    <t>quat[1] — TODO: 미구현</t>
  </si>
  <si>
    <t>quat_x</t>
  </si>
  <si>
    <t>quat[2] — TODO: 미구현</t>
  </si>
  <si>
    <t>quat_w</t>
  </si>
  <si>
    <t>quat[3] — TODO: 미구현</t>
  </si>
  <si>
    <t>gyro_x</t>
  </si>
  <si>
    <t>×0.1 [deg/s]</t>
  </si>
  <si>
    <t>gyro[0] — TODO: 미구현</t>
  </si>
  <si>
    <t>gyro_y</t>
  </si>
  <si>
    <t>gyro[1] — TODO: 미구현</t>
  </si>
  <si>
    <t>gyro_z</t>
  </si>
  <si>
    <t>gyro[2] — TODO: 미구현</t>
  </si>
  <si>
    <t>acc_x</t>
  </si>
  <si>
    <t>×0.001 [g]</t>
  </si>
  <si>
    <t>acc[0] — TODO: 미구현</t>
  </si>
  <si>
    <t>acc_y</t>
  </si>
  <si>
    <t>acc[1] — TODO: 미구현</t>
  </si>
  <si>
    <t>acc_z</t>
  </si>
  <si>
    <t>acc[2] — TODO: 미구현</t>
  </si>
  <si>
    <t>state</t>
  </si>
  <si>
    <t xml:space="preserve"> [SENSOR / ENCODER]  </t>
  </si>
  <si>
    <t>AS5600 절대각 엔코더   =========================================</t>
  </si>
  <si>
    <t>ENCODER</t>
  </si>
  <si>
    <t>encoder[0]</t>
  </si>
  <si>
    <t>uint16_t</t>
  </si>
  <si>
    <t>0~4095</t>
  </si>
  <si>
    <t>raw (12bit)</t>
  </si>
  <si>
    <t>raw_angle [0:11] | RSVD [12:15]</t>
  </si>
  <si>
    <t>AS5600 ch0 | 실제값: (raw - init_offset) % 4096</t>
  </si>
  <si>
    <t>encoder[1]</t>
  </si>
  <si>
    <t>AS5600 ch1</t>
  </si>
  <si>
    <t>encoder[2]</t>
  </si>
  <si>
    <t>AS5600 ch2</t>
  </si>
  <si>
    <t>encoder[3]</t>
  </si>
  <si>
    <t>AS5600 ch3</t>
  </si>
  <si>
    <t>encoder[4]</t>
  </si>
  <si>
    <t>AS5600 ch4</t>
  </si>
  <si>
    <t>[UART2]</t>
  </si>
  <si>
    <t>UART2 상태  ===============================================</t>
  </si>
  <si>
    <t>UART2</t>
  </si>
  <si>
    <t>[SENSOR/RC]</t>
  </si>
  <si>
    <t>Remote Controller 상태  ===============================================</t>
  </si>
  <si>
    <t>RC</t>
  </si>
  <si>
    <t xml:space="preserve"> [MOTOR / data]  </t>
  </si>
  <si>
    <t>모터 피드백   ===============================================</t>
  </si>
  <si>
    <t>MOTOR</t>
  </si>
  <si>
    <t>data</t>
  </si>
  <si>
    <t>position[0]</t>
  </si>
  <si>
    <t>×0.1 [deg]</t>
  </si>
  <si>
    <t>AK motor ID=1 | raw=AK_State_t.position</t>
  </si>
  <si>
    <t>position[1]</t>
  </si>
  <si>
    <t>AK motor ID=2</t>
  </si>
  <si>
    <t>position[2]</t>
  </si>
  <si>
    <t>AK motor ID=3</t>
  </si>
  <si>
    <t>position[3]</t>
  </si>
  <si>
    <t>AK motor ID=4</t>
  </si>
  <si>
    <t>velocity[0]</t>
  </si>
  <si>
    <t>×10.0 [RPM]</t>
  </si>
  <si>
    <t>AK motor ID=1</t>
  </si>
  <si>
    <t>velocity[1]</t>
  </si>
  <si>
    <t>velocity[2]</t>
  </si>
  <si>
    <t>velocity[3]</t>
  </si>
  <si>
    <t>current[0]</t>
  </si>
  <si>
    <t>×0.01 [A]</t>
  </si>
  <si>
    <t>current[1]</t>
  </si>
  <si>
    <t>current[2]</t>
  </si>
  <si>
    <t>current[3]</t>
  </si>
  <si>
    <t>temp[0]</t>
  </si>
  <si>
    <t>int8_t</t>
  </si>
  <si>
    <t>-20~127</t>
  </si>
  <si>
    <t>×1 [°C]</t>
  </si>
  <si>
    <t>temp[1]</t>
  </si>
  <si>
    <t>temp[2]</t>
  </si>
  <si>
    <t>temp[3]</t>
  </si>
  <si>
    <t>error_code[4]</t>
  </si>
  <si>
    <t>uint4_t×4 pack</t>
  </si>
  <si>
    <t>4bit×4 packed (LSB=M1): 각 4bit=AK 에러코드 원시값</t>
  </si>
  <si>
    <t>AK_State_t.error_code</t>
  </si>
  <si>
    <t>comm_err[4]</t>
  </si>
  <si>
    <t>2bit×4 pack</t>
  </si>
  <si>
    <t>2bit×4 packed (LSB=M1): 00=OK / 01=TX_WARN / 10=RX_TIMEOUT / 11=ERROR</t>
  </si>
  <si>
    <t>AK_Health_e (can_ak.h 참조)</t>
  </si>
  <si>
    <t xml:space="preserve"> [MOTOR / cmd]  </t>
  </si>
  <si>
    <t>모터 제어 명령 ===============================================</t>
  </si>
  <si>
    <t>ctr_mode[0]</t>
  </si>
  <si>
    <t>0~7</t>
  </si>
  <si>
    <t>0=ESTOP / 1=CURRENT / 2=CURRENT_BRAKE / 3=VELOCITY / 4=POSITION / 5=SET_ORIGIN / 6=POS_VEL_LOOP / 7=MIT</t>
  </si>
  <si>
    <t>AK_Control_Mode_t (can_ak.h)</t>
  </si>
  <si>
    <t>ctr_mode[1]</t>
  </si>
  <si>
    <t>(동일 정의 — ctr_mode[0] 참조)</t>
  </si>
  <si>
    <t>ctr_mode[2]</t>
  </si>
  <si>
    <t>(동일 정의)</t>
  </si>
  <si>
    <t>ctr_mode[3]</t>
  </si>
  <si>
    <t>cmd_position[0]</t>
  </si>
  <si>
    <t>float</t>
  </si>
  <si>
    <t>[deg]</t>
  </si>
  <si>
    <t>AK motor ID=1 위치 목표값</t>
  </si>
  <si>
    <t>cmd_position[1]</t>
  </si>
  <si>
    <t>cmd_position[2]</t>
  </si>
  <si>
    <t>cmd_position[3]</t>
  </si>
  <si>
    <t>cmd_velocity[0]</t>
  </si>
  <si>
    <t>[RPM]</t>
  </si>
  <si>
    <t>AK motor ID=1 속도 목표값</t>
  </si>
  <si>
    <t>cmd_velocity[1]</t>
  </si>
  <si>
    <t>cmd_velocity[2]</t>
  </si>
  <si>
    <t>cmd_velocity[3]</t>
  </si>
  <si>
    <t>cmd_current[0]</t>
  </si>
  <si>
    <t>[A]</t>
  </si>
  <si>
    <t>AK motor ID=1 전류 목표값</t>
  </si>
  <si>
    <t>cmd_current[1]</t>
  </si>
  <si>
    <t>cmd_current[2]</t>
  </si>
  <si>
    <t>cmd_current[3]</t>
  </si>
  <si>
    <t xml:space="preserve"> [SYSTEM/ cmd]  </t>
  </si>
  <si>
    <t>cmd_lin_vel</t>
  </si>
  <si>
    <t>[m/s]</t>
  </si>
  <si>
    <t>cmd_vel[0] — AUTO 모드 선속도</t>
  </si>
  <si>
    <t>cmd_ang_vel</t>
  </si>
  <si>
    <t>[rad/s]</t>
  </si>
  <si>
    <t>cmd_vel[1] — AUTO 모드 각속도</t>
  </si>
  <si>
    <t>weight</t>
  </si>
  <si>
    <t>0~3</t>
  </si>
  <si>
    <t>0=정지 / 1=저속(×0.15) / 2=중속(×0.50) / 3=최고속(×1.00)</t>
  </si>
  <si>
    <t>throttle_scale 선택 (ACTION_STATE_MANUAL)</t>
  </si>
  <si>
    <t>ctr_flag</t>
  </si>
  <si>
    <t>0=FALSE / 1=TRUE</t>
  </si>
  <si>
    <t>mode</t>
  </si>
  <si>
    <t>0=MANUAL / 1=AUTO</t>
  </si>
  <si>
    <t>GPIO MODE 핀 연동 (PERIPHERAL_DATA_t.MODE)</t>
  </si>
  <si>
    <t xml:space="preserve"> [DIAG]  </t>
  </si>
  <si>
    <t>진단/디버그 카운터 (모두 R/O) ===============================================</t>
  </si>
  <si>
    <t>cmd_write_tick</t>
  </si>
  <si>
    <t>tick</t>
  </si>
  <si>
    <t>상위 레벨에서 데이터가 씌여진 시간</t>
  </si>
  <si>
    <t>RESERVED_DIAG</t>
  </si>
  <si>
    <t>향후 센서 진단 확장용</t>
  </si>
  <si>
    <t>UART2 | UART4 | UART6 | I2C1 | RSVD</t>
  </si>
  <si>
    <t>uart4</t>
  </si>
  <si>
    <t>degarded_cnt[4-8]</t>
  </si>
  <si>
    <t xml:space="preserve"> [DPCA / data]  </t>
  </si>
  <si>
    <t>DPCA 제어용  ===================================</t>
  </si>
  <si>
    <t>DPCA</t>
  </si>
  <si>
    <t>prox_contact</t>
  </si>
  <si>
    <t>raw (3bit)</t>
  </si>
  <si>
    <t>lock_contact</t>
  </si>
  <si>
    <t>raw (4bit)</t>
  </si>
  <si>
    <t>UART4</t>
  </si>
  <si>
    <t xml:space="preserve"> [GPIO / data]  </t>
  </si>
  <si>
    <t>DPCB gpio용   =========================================</t>
  </si>
  <si>
    <t>DPCB</t>
  </si>
  <si>
    <t>ex_sw0</t>
  </si>
  <si>
    <t>0=OFF
1=ON</t>
  </si>
  <si>
    <t>ex_sw1</t>
  </si>
  <si>
    <t>ex_sw2</t>
  </si>
  <si>
    <t>0~2</t>
  </si>
  <si>
    <t xml:space="preserve">0=UP 
1=IDLE
2=DOWN </t>
  </si>
  <si>
    <t>ex_sw3</t>
  </si>
  <si>
    <t>ex_sw4</t>
  </si>
  <si>
    <t>ex_sw5</t>
  </si>
  <si>
    <t>I2C1</t>
  </si>
  <si>
    <t>PANNEL</t>
  </si>
  <si>
    <t>present_position[0]</t>
  </si>
  <si>
    <t>×1 [pulse]</t>
  </si>
  <si>
    <t>Dynamixel ID=2</t>
  </si>
  <si>
    <t>present_position[1]</t>
  </si>
  <si>
    <t>Dynamixel ID=3</t>
  </si>
  <si>
    <t>present_position[2]</t>
  </si>
  <si>
    <t>Dynamixel ID=4</t>
  </si>
  <si>
    <t>present_velocity[0]</t>
  </si>
  <si>
    <t>×0.229 [rev/min]</t>
  </si>
  <si>
    <t>present_velocity[1]</t>
  </si>
  <si>
    <t>present_velocity[2]</t>
  </si>
  <si>
    <t>present_current[0]</t>
  </si>
  <si>
    <t>×2.69 [mA]</t>
  </si>
  <si>
    <t>present_current[1]</t>
  </si>
  <si>
    <t>present_current[2]</t>
  </si>
  <si>
    <t>present_temperature[0]</t>
  </si>
  <si>
    <t>present_temperature[1]</t>
  </si>
  <si>
    <t>present_temperature[2]</t>
  </si>
  <si>
    <t>hardware_error[0]</t>
  </si>
  <si>
    <t>hardware_error[1]</t>
  </si>
  <si>
    <t>hardware_error[2]</t>
  </si>
  <si>
    <t>UART6</t>
  </si>
  <si>
    <t xml:space="preserve"> [DPCA / cmd]  </t>
  </si>
  <si>
    <t>DPCA 제어명령 ===============================================</t>
  </si>
  <si>
    <t>GPIO</t>
  </si>
  <si>
    <t>locker_en</t>
  </si>
  <si>
    <t>boot_en</t>
  </si>
  <si>
    <t xml:space="preserve"> [DPCB / cmd]  </t>
  </si>
  <si>
    <t>DPCB 제어명령 ===============================================</t>
  </si>
  <si>
    <t>light_en</t>
  </si>
  <si>
    <t>servo_cmd</t>
  </si>
  <si>
    <t>0=idle
1=lock
2=unlock</t>
  </si>
  <si>
    <t>CTRL</t>
  </si>
  <si>
    <t>0=manual
1=hold
2=auto</t>
  </si>
  <si>
    <t>deploy_fsm</t>
  </si>
  <si>
    <t>0~10</t>
  </si>
  <si>
    <t>deploy_fsm_state</t>
  </si>
  <si>
    <t>MOT</t>
  </si>
  <si>
    <t>torque_en[0]</t>
  </si>
  <si>
    <t>torque_en[1]</t>
  </si>
  <si>
    <t>torque_en[2]</t>
  </si>
  <si>
    <t>goal_position[0]</t>
  </si>
  <si>
    <t>goal_position[1]</t>
  </si>
  <si>
    <t>goal_position[2]</t>
  </si>
  <si>
    <t>goal_current[0]</t>
  </si>
  <si>
    <t>0~1800</t>
  </si>
  <si>
    <t>goal_current[1]</t>
  </si>
  <si>
    <t xml:space="preserve"> [UART2/data]  </t>
    <phoneticPr fontId="14" type="noConversion"/>
  </si>
  <si>
    <r>
      <t xml:space="preserve">UART2 </t>
    </r>
    <r>
      <rPr>
        <b/>
        <sz val="10"/>
        <color theme="1"/>
        <rFont val="맑은 고딕"/>
        <family val="2"/>
        <charset val="129"/>
      </rPr>
      <t>상태</t>
    </r>
    <r>
      <rPr>
        <b/>
        <sz val="10"/>
        <color theme="1"/>
        <rFont val="Arial"/>
        <family val="2"/>
      </rPr>
      <t xml:space="preserve">  ===================================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</si>
</sst>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———— [  &quot;\ 0\ &quot; :&quot;"/>
    <numFmt numFmtId="177" formatCode="0\ &quot; ] ————&quot;"/>
    <numFmt numFmtId="178" formatCode="&quot;(&quot;\ 0&quot; byte )&quot;"/>
  </numFmts>
  <fonts count="1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rgb="FF1F1F1F"/>
      <name val="&quot;Google Sans Text&quot;"/>
    </font>
    <font>
      <sz val="10"/>
      <color theme="1"/>
      <name val="Noto Sans CJK SC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980000"/>
      <name val="Arial"/>
      <family val="2"/>
      <scheme val="minor"/>
    </font>
    <font>
      <sz val="10"/>
      <color rgb="FF980000"/>
      <name val="Noto Sans CJK SC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BEEF4"/>
        <bgColor rgb="FFDBEEF4"/>
      </patternFill>
    </fill>
    <fill>
      <patternFill patternType="solid">
        <fgColor rgb="FFFFCFC9"/>
        <bgColor rgb="FFFFCFC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double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/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5" borderId="24" xfId="0" applyFont="1" applyFill="1" applyBorder="1"/>
    <xf numFmtId="0" fontId="3" fillId="6" borderId="24" xfId="0" applyFont="1" applyFill="1" applyBorder="1"/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0" fontId="6" fillId="7" borderId="45" xfId="0" applyFont="1" applyFill="1" applyBorder="1" applyAlignment="1">
      <alignment horizontal="center"/>
    </xf>
    <xf numFmtId="0" fontId="6" fillId="7" borderId="46" xfId="0" applyFont="1" applyFill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5" fillId="7" borderId="48" xfId="0" applyFont="1" applyFill="1" applyBorder="1" applyAlignment="1">
      <alignment horizontal="center"/>
    </xf>
    <xf numFmtId="0" fontId="6" fillId="7" borderId="48" xfId="0" applyFont="1" applyFill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5" fillId="7" borderId="36" xfId="0" applyFont="1" applyFill="1" applyBorder="1" applyAlignment="1">
      <alignment horizontal="center"/>
    </xf>
    <xf numFmtId="0" fontId="6" fillId="7" borderId="36" xfId="0" applyFont="1" applyFill="1" applyBorder="1" applyAlignment="1">
      <alignment horizontal="center"/>
    </xf>
    <xf numFmtId="0" fontId="6" fillId="7" borderId="37" xfId="0" applyFont="1" applyFill="1" applyBorder="1" applyAlignment="1">
      <alignment horizontal="center"/>
    </xf>
    <xf numFmtId="0" fontId="5" fillId="7" borderId="39" xfId="0" applyFont="1" applyFill="1" applyBorder="1" applyAlignment="1">
      <alignment horizontal="center"/>
    </xf>
    <xf numFmtId="0" fontId="6" fillId="7" borderId="39" xfId="0" applyFont="1" applyFill="1" applyBorder="1" applyAlignment="1">
      <alignment horizontal="center"/>
    </xf>
    <xf numFmtId="0" fontId="6" fillId="7" borderId="40" xfId="0" applyFont="1" applyFill="1" applyBorder="1" applyAlignment="1">
      <alignment horizontal="center"/>
    </xf>
    <xf numFmtId="0" fontId="3" fillId="0" borderId="0" xfId="0" applyFont="1"/>
    <xf numFmtId="0" fontId="5" fillId="7" borderId="42" xfId="0" applyFont="1" applyFill="1" applyBorder="1" applyAlignment="1">
      <alignment horizontal="center"/>
    </xf>
    <xf numFmtId="0" fontId="6" fillId="7" borderId="42" xfId="0" applyFont="1" applyFill="1" applyBorder="1" applyAlignment="1">
      <alignment horizontal="center"/>
    </xf>
    <xf numFmtId="0" fontId="6" fillId="7" borderId="43" xfId="0" applyFont="1" applyFill="1" applyBorder="1" applyAlignment="1">
      <alignment horizontal="center"/>
    </xf>
    <xf numFmtId="0" fontId="6" fillId="7" borderId="49" xfId="0" applyFont="1" applyFill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5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6" fillId="7" borderId="53" xfId="0" applyFont="1" applyFill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0" fontId="6" fillId="0" borderId="6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/>
    <xf numFmtId="0" fontId="3" fillId="0" borderId="10" xfId="0" applyFont="1" applyBorder="1"/>
    <xf numFmtId="0" fontId="3" fillId="0" borderId="14" xfId="0" applyFont="1" applyBorder="1"/>
    <xf numFmtId="0" fontId="1" fillId="5" borderId="62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176" fontId="8" fillId="2" borderId="0" xfId="0" applyNumberFormat="1" applyFont="1" applyFill="1" applyAlignment="1">
      <alignment horizontal="right" vertical="center"/>
    </xf>
    <xf numFmtId="177" fontId="8" fillId="2" borderId="0" xfId="0" applyNumberFormat="1" applyFont="1" applyFill="1" applyAlignment="1">
      <alignment horizontal="left" vertical="center"/>
    </xf>
    <xf numFmtId="178" fontId="8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/>
    </xf>
    <xf numFmtId="0" fontId="9" fillId="9" borderId="0" xfId="0" applyFont="1" applyFill="1"/>
    <xf numFmtId="0" fontId="7" fillId="9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176" fontId="8" fillId="2" borderId="0" xfId="0" applyNumberFormat="1" applyFont="1" applyFill="1" applyAlignment="1">
      <alignment horizontal="right"/>
    </xf>
    <xf numFmtId="177" fontId="8" fillId="2" borderId="0" xfId="0" applyNumberFormat="1" applyFont="1" applyFill="1"/>
    <xf numFmtId="178" fontId="8" fillId="2" borderId="0" xfId="0" applyNumberFormat="1" applyFont="1" applyFill="1" applyAlignment="1">
      <alignment horizontal="center"/>
    </xf>
    <xf numFmtId="176" fontId="9" fillId="9" borderId="0" xfId="0" applyNumberFormat="1" applyFont="1" applyFill="1" applyAlignment="1">
      <alignment horizontal="center"/>
    </xf>
    <xf numFmtId="177" fontId="9" fillId="9" borderId="0" xfId="0" applyNumberFormat="1" applyFont="1" applyFill="1" applyAlignment="1">
      <alignment horizontal="center"/>
    </xf>
    <xf numFmtId="178" fontId="9" fillId="9" borderId="0" xfId="0" applyNumberFormat="1" applyFont="1" applyFill="1" applyAlignment="1">
      <alignment horizontal="center"/>
    </xf>
    <xf numFmtId="0" fontId="8" fillId="2" borderId="0" xfId="0" quotePrefix="1" applyFont="1" applyFill="1" applyAlignment="1">
      <alignment horizontal="right" vertical="center"/>
    </xf>
    <xf numFmtId="0" fontId="0" fillId="0" borderId="0" xfId="0"/>
    <xf numFmtId="0" fontId="8" fillId="2" borderId="0" xfId="0" applyFont="1" applyFill="1" applyAlignment="1">
      <alignment horizontal="left" vertical="center"/>
    </xf>
    <xf numFmtId="0" fontId="8" fillId="2" borderId="0" xfId="0" quotePrefix="1" applyFont="1" applyFill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/>
    <xf numFmtId="0" fontId="1" fillId="2" borderId="29" xfId="0" applyFont="1" applyFill="1" applyBorder="1" applyAlignment="1">
      <alignment horizontal="center"/>
    </xf>
    <xf numFmtId="0" fontId="2" fillId="0" borderId="30" xfId="0" applyFont="1" applyBorder="1"/>
    <xf numFmtId="0" fontId="2" fillId="0" borderId="31" xfId="0" applyFont="1" applyBorder="1"/>
    <xf numFmtId="0" fontId="4" fillId="2" borderId="29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61" xfId="0" applyFont="1" applyBorder="1"/>
    <xf numFmtId="0" fontId="1" fillId="5" borderId="63" xfId="0" applyFont="1" applyFill="1" applyBorder="1" applyAlignment="1">
      <alignment horizontal="center"/>
    </xf>
    <xf numFmtId="0" fontId="2" fillId="0" borderId="64" xfId="0" applyFont="1" applyBorder="1"/>
    <xf numFmtId="0" fontId="6" fillId="0" borderId="60" xfId="0" applyFont="1" applyBorder="1" applyAlignment="1">
      <alignment horizontal="center" vertical="center"/>
    </xf>
    <xf numFmtId="0" fontId="2" fillId="0" borderId="60" xfId="0" applyFont="1" applyBorder="1"/>
    <xf numFmtId="0" fontId="2" fillId="0" borderId="11" xfId="0" applyFont="1" applyBorder="1"/>
    <xf numFmtId="0" fontId="3" fillId="0" borderId="65" xfId="0" applyFont="1" applyBorder="1" applyAlignment="1">
      <alignment horizontal="center" vertical="center"/>
    </xf>
    <xf numFmtId="0" fontId="2" fillId="0" borderId="65" xfId="0" applyFont="1" applyBorder="1"/>
    <xf numFmtId="0" fontId="2" fillId="0" borderId="23" xfId="0" applyFont="1" applyBorder="1"/>
    <xf numFmtId="0" fontId="3" fillId="0" borderId="11" xfId="0" applyFont="1" applyBorder="1"/>
    <xf numFmtId="0" fontId="2" fillId="0" borderId="14" xfId="0" applyFont="1" applyBorder="1"/>
    <xf numFmtId="0" fontId="3" fillId="0" borderId="15" xfId="0" applyFont="1" applyBorder="1"/>
    <xf numFmtId="0" fontId="2" fillId="0" borderId="21" xfId="0" applyFont="1" applyBorder="1"/>
    <xf numFmtId="0" fontId="3" fillId="0" borderId="61" xfId="0" applyFont="1" applyBorder="1"/>
    <xf numFmtId="0" fontId="3" fillId="0" borderId="15" xfId="0" applyFont="1" applyBorder="1" applyAlignment="1">
      <alignment horizontal="center" vertical="center"/>
    </xf>
    <xf numFmtId="0" fontId="2" fillId="0" borderId="20" xfId="0" applyFont="1" applyBorder="1"/>
    <xf numFmtId="0" fontId="3" fillId="5" borderId="19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9" xfId="0" applyFont="1" applyBorder="1"/>
    <xf numFmtId="0" fontId="2" fillId="0" borderId="13" xfId="0" applyFont="1" applyBorder="1"/>
    <xf numFmtId="0" fontId="3" fillId="0" borderId="18" xfId="0" applyFont="1" applyBorder="1" applyAlignment="1">
      <alignment horizontal="center" vertical="center"/>
    </xf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N79"/>
  <sheetViews>
    <sheetView workbookViewId="0"/>
  </sheetViews>
  <sheetFormatPr defaultColWidth="12.5703125" defaultRowHeight="15.75" customHeight="1"/>
  <cols>
    <col min="2" max="2" width="17.42578125" customWidth="1"/>
    <col min="3" max="3" width="47.28515625" customWidth="1"/>
    <col min="4" max="4" width="7.7109375" customWidth="1"/>
    <col min="5" max="13" width="7.28515625" customWidth="1"/>
  </cols>
  <sheetData>
    <row r="2" spans="1:14" ht="12.75">
      <c r="A2" s="161" t="s">
        <v>0</v>
      </c>
      <c r="B2" s="162"/>
      <c r="C2" s="165" t="s">
        <v>1</v>
      </c>
      <c r="D2" s="167" t="s">
        <v>2</v>
      </c>
    </row>
    <row r="3" spans="1:14" ht="12.75">
      <c r="A3" s="163"/>
      <c r="B3" s="164"/>
      <c r="C3" s="166"/>
      <c r="D3" s="168"/>
    </row>
    <row r="4" spans="1:14" ht="12.75">
      <c r="A4" s="169" t="s">
        <v>3</v>
      </c>
      <c r="B4" s="170" t="s">
        <v>4</v>
      </c>
      <c r="C4" s="1" t="s">
        <v>5</v>
      </c>
      <c r="D4" s="2" t="s">
        <v>6</v>
      </c>
    </row>
    <row r="5" spans="1:14" ht="12.75">
      <c r="A5" s="158"/>
      <c r="B5" s="148"/>
      <c r="C5" s="3" t="s">
        <v>7</v>
      </c>
      <c r="D5" s="4" t="s">
        <v>8</v>
      </c>
    </row>
    <row r="6" spans="1:14" ht="12.75">
      <c r="A6" s="156" t="s">
        <v>9</v>
      </c>
      <c r="B6" s="159" t="s">
        <v>10</v>
      </c>
      <c r="C6" s="3" t="s">
        <v>11</v>
      </c>
      <c r="D6" s="4" t="s">
        <v>12</v>
      </c>
    </row>
    <row r="7" spans="1:14" ht="12.75">
      <c r="A7" s="157"/>
      <c r="B7" s="160"/>
      <c r="C7" s="3" t="s">
        <v>13</v>
      </c>
      <c r="D7" s="4" t="s">
        <v>14</v>
      </c>
    </row>
    <row r="8" spans="1:14" ht="12.75">
      <c r="A8" s="157"/>
      <c r="B8" s="160"/>
      <c r="C8" s="3" t="s">
        <v>15</v>
      </c>
      <c r="D8" s="4" t="s">
        <v>16</v>
      </c>
    </row>
    <row r="9" spans="1:14" ht="12.75">
      <c r="A9" s="157"/>
      <c r="B9" s="160"/>
      <c r="C9" s="5" t="s">
        <v>17</v>
      </c>
      <c r="D9" s="6" t="s">
        <v>18</v>
      </c>
    </row>
    <row r="10" spans="1:14" ht="12.75">
      <c r="A10" s="158"/>
      <c r="B10" s="148"/>
      <c r="C10" s="7" t="s">
        <v>19</v>
      </c>
      <c r="D10" s="8" t="s">
        <v>20</v>
      </c>
      <c r="E10" s="154"/>
      <c r="F10" s="155" t="s">
        <v>21</v>
      </c>
      <c r="G10" s="153"/>
      <c r="H10" s="153"/>
      <c r="I10" s="150"/>
      <c r="J10" s="155" t="s">
        <v>22</v>
      </c>
      <c r="K10" s="153"/>
      <c r="L10" s="153"/>
      <c r="M10" s="153"/>
      <c r="N10" s="150"/>
    </row>
    <row r="11" spans="1:14" ht="12.75">
      <c r="A11" s="9" t="s">
        <v>23</v>
      </c>
      <c r="B11" s="10" t="s">
        <v>24</v>
      </c>
      <c r="C11" s="3" t="s">
        <v>25</v>
      </c>
      <c r="D11" s="4" t="s">
        <v>26</v>
      </c>
      <c r="E11" s="146"/>
      <c r="F11" s="155" t="s">
        <v>27</v>
      </c>
      <c r="G11" s="153"/>
      <c r="H11" s="153"/>
      <c r="I11" s="153"/>
      <c r="J11" s="153"/>
      <c r="K11" s="153"/>
      <c r="L11" s="153"/>
      <c r="M11" s="150"/>
      <c r="N11" s="11" t="s">
        <v>28</v>
      </c>
    </row>
    <row r="12" spans="1:14" ht="12.75">
      <c r="A12" s="156" t="s">
        <v>29</v>
      </c>
      <c r="B12" s="159" t="s">
        <v>30</v>
      </c>
      <c r="C12" s="3" t="s">
        <v>31</v>
      </c>
      <c r="D12" s="4" t="s">
        <v>12</v>
      </c>
      <c r="E12" s="12" t="s">
        <v>31</v>
      </c>
      <c r="F12" s="152" t="s">
        <v>32</v>
      </c>
      <c r="G12" s="153"/>
      <c r="H12" s="153"/>
      <c r="I12" s="150"/>
      <c r="J12" s="13" t="s">
        <v>33</v>
      </c>
      <c r="K12" s="152" t="s">
        <v>32</v>
      </c>
      <c r="L12" s="153"/>
      <c r="M12" s="150"/>
      <c r="N12" s="14">
        <v>1</v>
      </c>
    </row>
    <row r="13" spans="1:14" ht="12.75">
      <c r="A13" s="157"/>
      <c r="B13" s="160"/>
      <c r="C13" s="3" t="s">
        <v>34</v>
      </c>
      <c r="D13" s="4" t="s">
        <v>35</v>
      </c>
      <c r="E13" s="12" t="s">
        <v>34</v>
      </c>
      <c r="F13" s="13" t="s">
        <v>36</v>
      </c>
      <c r="G13" s="13" t="s">
        <v>37</v>
      </c>
      <c r="H13" s="13" t="s">
        <v>38</v>
      </c>
      <c r="I13" s="13" t="s">
        <v>39</v>
      </c>
      <c r="J13" s="13" t="s">
        <v>33</v>
      </c>
      <c r="K13" s="152" t="s">
        <v>40</v>
      </c>
      <c r="L13" s="153"/>
      <c r="M13" s="150"/>
      <c r="N13" s="14" t="s">
        <v>41</v>
      </c>
    </row>
    <row r="14" spans="1:14" ht="12.75">
      <c r="A14" s="157"/>
      <c r="B14" s="160"/>
      <c r="C14" s="3" t="s">
        <v>42</v>
      </c>
      <c r="D14" s="4" t="s">
        <v>43</v>
      </c>
      <c r="E14" s="12" t="s">
        <v>42</v>
      </c>
      <c r="F14" s="13" t="s">
        <v>36</v>
      </c>
      <c r="G14" s="13" t="s">
        <v>37</v>
      </c>
      <c r="H14" s="152" t="s">
        <v>40</v>
      </c>
      <c r="I14" s="150"/>
      <c r="J14" s="13" t="s">
        <v>33</v>
      </c>
      <c r="K14" s="152" t="s">
        <v>32</v>
      </c>
      <c r="L14" s="153"/>
      <c r="M14" s="150"/>
      <c r="N14" s="14">
        <v>1</v>
      </c>
    </row>
    <row r="15" spans="1:14" ht="12.75">
      <c r="A15" s="157"/>
      <c r="B15" s="160"/>
      <c r="C15" s="3"/>
      <c r="D15" s="4"/>
      <c r="E15" s="15"/>
      <c r="F15" s="152" t="s">
        <v>32</v>
      </c>
      <c r="G15" s="153"/>
      <c r="H15" s="153"/>
      <c r="I15" s="153"/>
      <c r="J15" s="153"/>
      <c r="K15" s="153"/>
      <c r="L15" s="153"/>
      <c r="M15" s="150"/>
      <c r="N15" s="16"/>
    </row>
    <row r="16" spans="1:14" ht="12.75">
      <c r="A16" s="157"/>
      <c r="B16" s="160"/>
      <c r="C16" s="17" t="s">
        <v>44</v>
      </c>
      <c r="D16" s="4" t="s">
        <v>45</v>
      </c>
      <c r="E16" s="12" t="s">
        <v>44</v>
      </c>
      <c r="F16" s="152" t="s">
        <v>32</v>
      </c>
      <c r="G16" s="153"/>
      <c r="H16" s="153"/>
      <c r="I16" s="150"/>
      <c r="J16" s="13" t="s">
        <v>33</v>
      </c>
      <c r="K16" s="152" t="s">
        <v>32</v>
      </c>
      <c r="L16" s="153"/>
      <c r="M16" s="150"/>
      <c r="N16" s="14">
        <v>1</v>
      </c>
    </row>
    <row r="17" spans="1:14" ht="12.75">
      <c r="A17" s="157"/>
      <c r="B17" s="160"/>
      <c r="C17" s="3"/>
      <c r="D17" s="4"/>
      <c r="E17" s="18"/>
      <c r="F17" s="152"/>
      <c r="G17" s="153"/>
      <c r="H17" s="153"/>
      <c r="I17" s="153"/>
      <c r="J17" s="153"/>
      <c r="K17" s="153"/>
      <c r="L17" s="153"/>
      <c r="M17" s="150"/>
      <c r="N17" s="19"/>
    </row>
    <row r="18" spans="1:14" ht="12.75">
      <c r="A18" s="158"/>
      <c r="B18" s="148"/>
      <c r="C18" s="3" t="s">
        <v>22</v>
      </c>
      <c r="D18" s="4" t="s">
        <v>8</v>
      </c>
      <c r="E18" s="18"/>
      <c r="F18" s="152"/>
      <c r="G18" s="153"/>
      <c r="H18" s="153"/>
      <c r="I18" s="153"/>
      <c r="J18" s="153"/>
      <c r="K18" s="153"/>
      <c r="L18" s="153"/>
      <c r="M18" s="150"/>
      <c r="N18" s="19"/>
    </row>
    <row r="19" spans="1:14" ht="12.75">
      <c r="A19" s="9" t="s">
        <v>2</v>
      </c>
      <c r="B19" s="10" t="s">
        <v>46</v>
      </c>
      <c r="C19" s="13"/>
      <c r="D19" s="4"/>
    </row>
    <row r="20" spans="1:14" ht="12.75">
      <c r="A20" s="20" t="s">
        <v>47</v>
      </c>
      <c r="B20" s="21" t="s">
        <v>48</v>
      </c>
      <c r="C20" s="22" t="s">
        <v>32</v>
      </c>
      <c r="D20" s="23" t="s">
        <v>32</v>
      </c>
    </row>
    <row r="21" spans="1:14" ht="15.75" customHeight="1">
      <c r="A21" s="128"/>
      <c r="B21" s="128"/>
      <c r="C21" s="128"/>
      <c r="D21" s="128"/>
    </row>
    <row r="22" spans="1:14" ht="12.75">
      <c r="A22" s="133" t="s">
        <v>49</v>
      </c>
      <c r="B22" s="134"/>
      <c r="C22" s="134"/>
      <c r="D22" s="135"/>
    </row>
    <row r="23" spans="1:14" ht="12.75">
      <c r="A23" s="24" t="s">
        <v>50</v>
      </c>
      <c r="B23" s="25" t="s">
        <v>51</v>
      </c>
      <c r="C23" s="25" t="s">
        <v>52</v>
      </c>
      <c r="D23" s="26" t="s">
        <v>53</v>
      </c>
      <c r="E23" s="27"/>
      <c r="F23" s="27"/>
      <c r="G23" s="27"/>
      <c r="H23" s="27"/>
    </row>
    <row r="24" spans="1:14" ht="12.75">
      <c r="A24" s="28">
        <v>0</v>
      </c>
      <c r="B24" s="29" t="s">
        <v>54</v>
      </c>
      <c r="C24" s="30" t="s">
        <v>55</v>
      </c>
      <c r="D24" s="31" t="s">
        <v>56</v>
      </c>
    </row>
    <row r="25" spans="1:14" ht="12.75">
      <c r="A25" s="32">
        <v>1</v>
      </c>
      <c r="B25" s="33" t="s">
        <v>57</v>
      </c>
      <c r="C25" s="34" t="s">
        <v>58</v>
      </c>
      <c r="D25" s="35" t="s">
        <v>59</v>
      </c>
    </row>
    <row r="26" spans="1:14" ht="12.75">
      <c r="A26" s="36">
        <v>2</v>
      </c>
      <c r="B26" s="37" t="s">
        <v>60</v>
      </c>
      <c r="C26" s="38" t="s">
        <v>61</v>
      </c>
      <c r="D26" s="39" t="s">
        <v>62</v>
      </c>
    </row>
    <row r="27" spans="1:14" ht="12.75">
      <c r="A27" s="40">
        <v>3</v>
      </c>
      <c r="B27" s="41" t="s">
        <v>63</v>
      </c>
      <c r="C27" s="42" t="s">
        <v>64</v>
      </c>
      <c r="D27" s="43" t="s">
        <v>62</v>
      </c>
    </row>
    <row r="28" spans="1:14" ht="12.75">
      <c r="A28" s="40">
        <v>4</v>
      </c>
      <c r="B28" s="44" t="s">
        <v>65</v>
      </c>
      <c r="C28" s="45" t="s">
        <v>66</v>
      </c>
      <c r="D28" s="46" t="s">
        <v>62</v>
      </c>
    </row>
    <row r="29" spans="1:14" ht="12.75">
      <c r="A29" s="40">
        <v>5</v>
      </c>
      <c r="B29" s="44" t="s">
        <v>67</v>
      </c>
      <c r="C29" s="45" t="s">
        <v>68</v>
      </c>
      <c r="D29" s="46" t="s">
        <v>62</v>
      </c>
    </row>
    <row r="30" spans="1:14" ht="12.75">
      <c r="A30" s="47">
        <v>6</v>
      </c>
      <c r="B30" s="48" t="s">
        <v>69</v>
      </c>
      <c r="C30" s="49" t="s">
        <v>70</v>
      </c>
      <c r="D30" s="50" t="s">
        <v>62</v>
      </c>
    </row>
    <row r="31" spans="1:14" ht="12.75">
      <c r="A31" s="28">
        <v>7</v>
      </c>
      <c r="B31" s="51" t="s">
        <v>71</v>
      </c>
      <c r="C31" s="52" t="s">
        <v>72</v>
      </c>
      <c r="D31" s="53" t="s">
        <v>73</v>
      </c>
    </row>
    <row r="32" spans="1:14" ht="12.75">
      <c r="A32" s="40">
        <v>8</v>
      </c>
      <c r="B32" s="44" t="s">
        <v>74</v>
      </c>
      <c r="C32" s="45" t="s">
        <v>75</v>
      </c>
      <c r="D32" s="46" t="s">
        <v>73</v>
      </c>
    </row>
    <row r="33" spans="1:10" ht="12.75">
      <c r="A33" s="40">
        <v>9</v>
      </c>
      <c r="B33" s="44" t="s">
        <v>76</v>
      </c>
      <c r="C33" s="45" t="s">
        <v>77</v>
      </c>
      <c r="D33" s="46" t="s">
        <v>73</v>
      </c>
    </row>
    <row r="34" spans="1:10" ht="12.75">
      <c r="A34" s="32">
        <v>10</v>
      </c>
      <c r="B34" s="54" t="s">
        <v>78</v>
      </c>
      <c r="C34" s="55" t="s">
        <v>79</v>
      </c>
      <c r="D34" s="56" t="s">
        <v>73</v>
      </c>
      <c r="J34" s="57" t="s">
        <v>80</v>
      </c>
    </row>
    <row r="35" spans="1:10" ht="12.75">
      <c r="A35" s="36">
        <v>11</v>
      </c>
      <c r="B35" s="58" t="s">
        <v>81</v>
      </c>
      <c r="C35" s="59" t="s">
        <v>82</v>
      </c>
      <c r="D35" s="60" t="s">
        <v>83</v>
      </c>
    </row>
    <row r="36" spans="1:10" ht="12.75">
      <c r="A36" s="40">
        <v>12</v>
      </c>
      <c r="B36" s="44" t="s">
        <v>84</v>
      </c>
      <c r="C36" s="45" t="s">
        <v>85</v>
      </c>
      <c r="D36" s="46" t="s">
        <v>83</v>
      </c>
    </row>
    <row r="37" spans="1:10" ht="12.75">
      <c r="A37" s="47">
        <v>13</v>
      </c>
      <c r="B37" s="48" t="s">
        <v>86</v>
      </c>
      <c r="C37" s="49" t="s">
        <v>87</v>
      </c>
      <c r="D37" s="61" t="s">
        <v>83</v>
      </c>
    </row>
    <row r="38" spans="1:10" ht="12.75">
      <c r="A38" s="28">
        <v>14</v>
      </c>
      <c r="B38" s="51" t="s">
        <v>88</v>
      </c>
      <c r="C38" s="52" t="s">
        <v>89</v>
      </c>
      <c r="D38" s="53" t="s">
        <v>90</v>
      </c>
    </row>
    <row r="39" spans="1:10" ht="12.75">
      <c r="A39" s="62">
        <v>15</v>
      </c>
      <c r="B39" s="63" t="s">
        <v>91</v>
      </c>
      <c r="C39" s="64" t="s">
        <v>92</v>
      </c>
      <c r="D39" s="65" t="s">
        <v>90</v>
      </c>
    </row>
    <row r="41" spans="1:10" ht="12.75">
      <c r="A41" s="136" t="s">
        <v>93</v>
      </c>
      <c r="B41" s="134"/>
      <c r="C41" s="135"/>
    </row>
    <row r="42" spans="1:10" ht="12.75">
      <c r="A42" s="24" t="s">
        <v>50</v>
      </c>
      <c r="B42" s="25" t="s">
        <v>51</v>
      </c>
      <c r="C42" s="26" t="s">
        <v>53</v>
      </c>
    </row>
    <row r="43" spans="1:10" ht="12.75">
      <c r="A43" s="28">
        <v>0</v>
      </c>
      <c r="B43" s="33" t="s">
        <v>94</v>
      </c>
      <c r="C43" s="35" t="s">
        <v>95</v>
      </c>
    </row>
    <row r="44" spans="1:10" ht="12.75">
      <c r="A44" s="32">
        <v>1</v>
      </c>
      <c r="B44" s="66" t="s">
        <v>96</v>
      </c>
      <c r="C44" s="67" t="s">
        <v>97</v>
      </c>
    </row>
    <row r="45" spans="1:10" ht="12.75">
      <c r="A45" s="68">
        <v>2</v>
      </c>
      <c r="B45" s="66" t="s">
        <v>98</v>
      </c>
      <c r="C45" s="67" t="s">
        <v>99</v>
      </c>
    </row>
    <row r="46" spans="1:10" ht="12.75">
      <c r="A46" s="68">
        <v>3</v>
      </c>
      <c r="B46" s="69" t="s">
        <v>100</v>
      </c>
      <c r="C46" s="67" t="s">
        <v>101</v>
      </c>
    </row>
    <row r="47" spans="1:10" ht="12.75">
      <c r="A47" s="68">
        <v>4</v>
      </c>
      <c r="B47" s="69" t="s">
        <v>102</v>
      </c>
      <c r="C47" s="67" t="s">
        <v>103</v>
      </c>
    </row>
    <row r="48" spans="1:10" ht="12.75">
      <c r="A48" s="68">
        <v>5</v>
      </c>
      <c r="B48" s="69" t="s">
        <v>104</v>
      </c>
      <c r="C48" s="70" t="s">
        <v>32</v>
      </c>
    </row>
    <row r="49" spans="1:3" ht="12.75">
      <c r="A49" s="68">
        <v>6</v>
      </c>
      <c r="B49" s="69" t="s">
        <v>104</v>
      </c>
      <c r="C49" s="70" t="s">
        <v>32</v>
      </c>
    </row>
    <row r="50" spans="1:3" ht="12.75">
      <c r="A50" s="68">
        <v>7</v>
      </c>
      <c r="B50" s="69" t="s">
        <v>104</v>
      </c>
      <c r="C50" s="70" t="s">
        <v>32</v>
      </c>
    </row>
    <row r="51" spans="1:3" ht="12.75">
      <c r="A51" s="68">
        <v>8</v>
      </c>
      <c r="B51" s="69" t="s">
        <v>104</v>
      </c>
      <c r="C51" s="70" t="s">
        <v>32</v>
      </c>
    </row>
    <row r="52" spans="1:3" ht="12.75">
      <c r="A52" s="68">
        <v>9</v>
      </c>
      <c r="B52" s="69" t="s">
        <v>104</v>
      </c>
      <c r="C52" s="70" t="s">
        <v>32</v>
      </c>
    </row>
    <row r="53" spans="1:3" ht="12.75">
      <c r="A53" s="68">
        <v>10</v>
      </c>
      <c r="B53" s="69" t="s">
        <v>104</v>
      </c>
      <c r="C53" s="70" t="s">
        <v>32</v>
      </c>
    </row>
    <row r="54" spans="1:3" ht="12.75">
      <c r="A54" s="68">
        <v>11</v>
      </c>
      <c r="B54" s="69" t="s">
        <v>104</v>
      </c>
      <c r="C54" s="70" t="s">
        <v>32</v>
      </c>
    </row>
    <row r="55" spans="1:3" ht="12.75">
      <c r="A55" s="68">
        <v>12</v>
      </c>
      <c r="B55" s="69" t="s">
        <v>104</v>
      </c>
      <c r="C55" s="70" t="s">
        <v>32</v>
      </c>
    </row>
    <row r="56" spans="1:3" ht="12.75">
      <c r="A56" s="68">
        <v>13</v>
      </c>
      <c r="B56" s="69" t="s">
        <v>104</v>
      </c>
      <c r="C56" s="70" t="s">
        <v>32</v>
      </c>
    </row>
    <row r="57" spans="1:3" ht="12.75">
      <c r="A57" s="68">
        <v>14</v>
      </c>
      <c r="B57" s="69" t="s">
        <v>104</v>
      </c>
      <c r="C57" s="70" t="s">
        <v>32</v>
      </c>
    </row>
    <row r="58" spans="1:3" ht="12.75">
      <c r="A58" s="71">
        <v>15</v>
      </c>
      <c r="B58" s="72" t="s">
        <v>105</v>
      </c>
      <c r="C58" s="73" t="s">
        <v>106</v>
      </c>
    </row>
    <row r="59" spans="1:3" ht="12.75">
      <c r="A59" s="74"/>
      <c r="B59" s="74"/>
      <c r="C59" s="74"/>
    </row>
    <row r="60" spans="1:3" ht="12.75">
      <c r="A60" s="75" t="s">
        <v>107</v>
      </c>
      <c r="B60" s="76" t="s">
        <v>108</v>
      </c>
      <c r="C60" s="77" t="s">
        <v>52</v>
      </c>
    </row>
    <row r="61" spans="1:3" ht="12.75">
      <c r="A61" s="78" t="s">
        <v>12</v>
      </c>
      <c r="B61" s="79" t="s">
        <v>109</v>
      </c>
      <c r="C61" s="80" t="s">
        <v>110</v>
      </c>
    </row>
    <row r="62" spans="1:3" ht="12.75">
      <c r="A62" s="78" t="s">
        <v>35</v>
      </c>
      <c r="B62" s="79" t="s">
        <v>111</v>
      </c>
      <c r="C62" s="80" t="s">
        <v>112</v>
      </c>
    </row>
    <row r="63" spans="1:3" ht="12.75">
      <c r="A63" s="78" t="s">
        <v>43</v>
      </c>
      <c r="B63" s="79" t="s">
        <v>113</v>
      </c>
      <c r="C63" s="80" t="s">
        <v>114</v>
      </c>
    </row>
    <row r="64" spans="1:3" ht="12.75">
      <c r="A64" s="78" t="s">
        <v>115</v>
      </c>
      <c r="B64" s="79" t="s">
        <v>116</v>
      </c>
      <c r="C64" s="80" t="s">
        <v>117</v>
      </c>
    </row>
    <row r="65" spans="1:4" ht="12.75">
      <c r="A65" s="78" t="s">
        <v>118</v>
      </c>
      <c r="B65" s="79" t="s">
        <v>119</v>
      </c>
      <c r="C65" s="80" t="s">
        <v>120</v>
      </c>
    </row>
    <row r="66" spans="1:4" ht="12.75">
      <c r="A66" s="78" t="s">
        <v>121</v>
      </c>
      <c r="B66" s="79" t="s">
        <v>122</v>
      </c>
      <c r="C66" s="80" t="s">
        <v>123</v>
      </c>
    </row>
    <row r="67" spans="1:4" ht="12.75">
      <c r="A67" s="141" t="s">
        <v>124</v>
      </c>
      <c r="B67" s="137" t="s">
        <v>125</v>
      </c>
      <c r="C67" s="80" t="s">
        <v>126</v>
      </c>
    </row>
    <row r="68" spans="1:4" ht="12.75">
      <c r="A68" s="142"/>
      <c r="B68" s="128"/>
      <c r="C68" s="81" t="s">
        <v>127</v>
      </c>
    </row>
    <row r="69" spans="1:4" ht="12.75">
      <c r="A69" s="143"/>
      <c r="B69" s="138"/>
      <c r="C69" s="82" t="s">
        <v>128</v>
      </c>
    </row>
    <row r="71" spans="1:4" ht="12.75">
      <c r="A71" s="83" t="s">
        <v>129</v>
      </c>
      <c r="B71" s="83" t="s">
        <v>2</v>
      </c>
      <c r="C71" s="139" t="s">
        <v>130</v>
      </c>
      <c r="D71" s="140"/>
    </row>
    <row r="72" spans="1:4" ht="12.75">
      <c r="A72" s="144" t="s">
        <v>131</v>
      </c>
      <c r="B72" s="84">
        <v>0</v>
      </c>
      <c r="C72" s="147" t="s">
        <v>132</v>
      </c>
      <c r="D72" s="148"/>
    </row>
    <row r="73" spans="1:4" ht="12.75">
      <c r="A73" s="145"/>
      <c r="B73" s="85">
        <v>1</v>
      </c>
      <c r="C73" s="149" t="s">
        <v>133</v>
      </c>
      <c r="D73" s="150"/>
    </row>
    <row r="74" spans="1:4" ht="12.75">
      <c r="A74" s="145"/>
      <c r="B74" s="85">
        <v>2</v>
      </c>
      <c r="C74" s="149" t="s">
        <v>134</v>
      </c>
      <c r="D74" s="150"/>
    </row>
    <row r="75" spans="1:4" ht="12.75">
      <c r="A75" s="145"/>
      <c r="B75" s="85">
        <v>3</v>
      </c>
      <c r="C75" s="151" t="s">
        <v>135</v>
      </c>
      <c r="D75" s="148"/>
    </row>
    <row r="76" spans="1:4" ht="12.75">
      <c r="A76" s="145"/>
      <c r="B76" s="85">
        <v>4</v>
      </c>
      <c r="C76" s="149" t="s">
        <v>136</v>
      </c>
      <c r="D76" s="150"/>
    </row>
    <row r="77" spans="1:4" ht="12.75">
      <c r="A77" s="145"/>
      <c r="B77" s="85">
        <v>5</v>
      </c>
      <c r="C77" s="149" t="s">
        <v>137</v>
      </c>
      <c r="D77" s="150"/>
    </row>
    <row r="78" spans="1:4" ht="12.75">
      <c r="A78" s="145"/>
      <c r="B78" s="85">
        <v>6</v>
      </c>
      <c r="C78" s="149" t="s">
        <v>138</v>
      </c>
      <c r="D78" s="150"/>
    </row>
    <row r="79" spans="1:4" ht="12.75">
      <c r="A79" s="146"/>
      <c r="B79" s="85">
        <v>7</v>
      </c>
      <c r="C79" s="149" t="s">
        <v>139</v>
      </c>
      <c r="D79" s="150"/>
    </row>
  </sheetData>
  <mergeCells count="38">
    <mergeCell ref="A2:B3"/>
    <mergeCell ref="C2:C3"/>
    <mergeCell ref="D2:D3"/>
    <mergeCell ref="A4:A5"/>
    <mergeCell ref="B4:B5"/>
    <mergeCell ref="A6:A10"/>
    <mergeCell ref="B6:B10"/>
    <mergeCell ref="K13:M13"/>
    <mergeCell ref="K14:M14"/>
    <mergeCell ref="F15:M15"/>
    <mergeCell ref="A12:A18"/>
    <mergeCell ref="B12:B18"/>
    <mergeCell ref="F16:I16"/>
    <mergeCell ref="K16:M16"/>
    <mergeCell ref="F17:M17"/>
    <mergeCell ref="F18:M18"/>
    <mergeCell ref="E10:E11"/>
    <mergeCell ref="F10:I10"/>
    <mergeCell ref="J10:N10"/>
    <mergeCell ref="F11:M11"/>
    <mergeCell ref="F12:I12"/>
    <mergeCell ref="K12:M12"/>
    <mergeCell ref="H14:I14"/>
    <mergeCell ref="A72:A79"/>
    <mergeCell ref="C72:D72"/>
    <mergeCell ref="C73:D73"/>
    <mergeCell ref="C74:D74"/>
    <mergeCell ref="C75:D75"/>
    <mergeCell ref="C76:D76"/>
    <mergeCell ref="C77:D77"/>
    <mergeCell ref="C78:D78"/>
    <mergeCell ref="C79:D79"/>
    <mergeCell ref="A21:D21"/>
    <mergeCell ref="A22:D22"/>
    <mergeCell ref="A41:C41"/>
    <mergeCell ref="B67:B69"/>
    <mergeCell ref="C71:D71"/>
    <mergeCell ref="A67:A69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7"/>
  <sheetViews>
    <sheetView topLeftCell="A13" workbookViewId="0">
      <selection activeCell="K44" sqref="K44:L44"/>
    </sheetView>
  </sheetViews>
  <sheetFormatPr defaultColWidth="12.5703125" defaultRowHeight="15.75" customHeight="1"/>
  <cols>
    <col min="1" max="1" width="9.7109375" customWidth="1"/>
    <col min="2" max="2" width="8.42578125" customWidth="1"/>
    <col min="5" max="5" width="19.28515625" customWidth="1"/>
    <col min="8" max="8" width="16.42578125" bestFit="1" customWidth="1"/>
    <col min="9" max="9" width="15" bestFit="1" customWidth="1"/>
    <col min="11" max="11" width="42" customWidth="1"/>
    <col min="12" max="12" width="64.7109375" customWidth="1"/>
  </cols>
  <sheetData>
    <row r="1" spans="1:12">
      <c r="A1" s="86" t="s">
        <v>140</v>
      </c>
      <c r="B1" s="86" t="s">
        <v>141</v>
      </c>
      <c r="C1" s="86" t="s">
        <v>142</v>
      </c>
      <c r="D1" s="86" t="s">
        <v>143</v>
      </c>
      <c r="E1" s="86" t="s">
        <v>144</v>
      </c>
      <c r="F1" s="86" t="s">
        <v>145</v>
      </c>
      <c r="G1" s="86" t="s">
        <v>129</v>
      </c>
      <c r="H1" s="86" t="s">
        <v>146</v>
      </c>
      <c r="I1" s="86" t="s">
        <v>147</v>
      </c>
      <c r="J1" s="86" t="s">
        <v>148</v>
      </c>
      <c r="K1" s="87" t="s">
        <v>149</v>
      </c>
      <c r="L1" s="86" t="s">
        <v>150</v>
      </c>
    </row>
    <row r="2" spans="1:12">
      <c r="A2" s="88"/>
      <c r="B2" s="88"/>
      <c r="C2" s="88"/>
      <c r="D2" s="88"/>
      <c r="E2" s="88"/>
      <c r="F2" s="88"/>
      <c r="G2" s="88"/>
      <c r="H2" s="88"/>
      <c r="I2" s="88"/>
      <c r="J2" s="88"/>
      <c r="K2" s="89"/>
      <c r="L2" s="90" t="s">
        <v>151</v>
      </c>
    </row>
    <row r="3" spans="1:12">
      <c r="A3" s="127" t="s">
        <v>152</v>
      </c>
      <c r="B3" s="128"/>
      <c r="C3" s="128"/>
      <c r="D3" s="128"/>
      <c r="E3" s="128"/>
      <c r="F3" s="128"/>
      <c r="G3" s="91" t="s">
        <v>153</v>
      </c>
      <c r="H3" s="92">
        <f>A4</f>
        <v>0</v>
      </c>
      <c r="I3" s="93">
        <f>A10+B10-1</f>
        <v>15</v>
      </c>
      <c r="J3" s="94">
        <f>I3-H3+1</f>
        <v>16</v>
      </c>
      <c r="K3" s="129" t="s">
        <v>154</v>
      </c>
      <c r="L3" s="128"/>
    </row>
    <row r="4" spans="1:12">
      <c r="A4" s="88">
        <v>0</v>
      </c>
      <c r="B4" s="88">
        <v>1</v>
      </c>
      <c r="C4" s="88" t="s">
        <v>155</v>
      </c>
      <c r="D4" s="88"/>
      <c r="E4" s="88" t="s">
        <v>156</v>
      </c>
      <c r="F4" s="88" t="s">
        <v>157</v>
      </c>
      <c r="G4" s="88" t="s">
        <v>158</v>
      </c>
      <c r="H4" s="88">
        <v>0</v>
      </c>
      <c r="I4" s="88" t="s">
        <v>159</v>
      </c>
      <c r="J4" s="88" t="s">
        <v>160</v>
      </c>
      <c r="K4" s="95" t="s">
        <v>161</v>
      </c>
      <c r="L4" s="96" t="s">
        <v>162</v>
      </c>
    </row>
    <row r="5" spans="1:12">
      <c r="A5" s="88">
        <f t="shared" ref="A5:A10" si="0">A4+B4</f>
        <v>1</v>
      </c>
      <c r="B5" s="88">
        <v>1</v>
      </c>
      <c r="C5" s="88" t="s">
        <v>155</v>
      </c>
      <c r="D5" s="88"/>
      <c r="E5" s="88" t="s">
        <v>163</v>
      </c>
      <c r="F5" s="88" t="s">
        <v>157</v>
      </c>
      <c r="G5" s="88" t="s">
        <v>158</v>
      </c>
      <c r="H5" s="88">
        <v>15</v>
      </c>
      <c r="I5" s="88" t="s">
        <v>164</v>
      </c>
      <c r="J5" s="88" t="s">
        <v>165</v>
      </c>
      <c r="K5" s="89"/>
      <c r="L5" s="96" t="s">
        <v>166</v>
      </c>
    </row>
    <row r="6" spans="1:12">
      <c r="A6" s="88">
        <f t="shared" si="0"/>
        <v>2</v>
      </c>
      <c r="B6" s="88">
        <v>1</v>
      </c>
      <c r="C6" s="88" t="s">
        <v>155</v>
      </c>
      <c r="D6" s="88"/>
      <c r="E6" s="88" t="s">
        <v>167</v>
      </c>
      <c r="F6" s="88" t="s">
        <v>157</v>
      </c>
      <c r="G6" s="88" t="s">
        <v>158</v>
      </c>
      <c r="H6" s="88">
        <v>10</v>
      </c>
      <c r="I6" s="88" t="s">
        <v>168</v>
      </c>
      <c r="J6" s="88" t="s">
        <v>169</v>
      </c>
      <c r="K6" s="89" t="s">
        <v>170</v>
      </c>
      <c r="L6" s="96"/>
    </row>
    <row r="7" spans="1:12">
      <c r="A7" s="88">
        <f t="shared" si="0"/>
        <v>3</v>
      </c>
      <c r="B7" s="88">
        <v>1</v>
      </c>
      <c r="C7" s="88" t="s">
        <v>155</v>
      </c>
      <c r="D7" s="88"/>
      <c r="E7" s="88" t="s">
        <v>171</v>
      </c>
      <c r="F7" s="88" t="s">
        <v>157</v>
      </c>
      <c r="G7" s="88" t="s">
        <v>158</v>
      </c>
      <c r="H7" s="88">
        <v>5</v>
      </c>
      <c r="I7" s="88" t="s">
        <v>172</v>
      </c>
      <c r="J7" s="88" t="s">
        <v>173</v>
      </c>
      <c r="K7" s="89"/>
      <c r="L7" s="90"/>
    </row>
    <row r="8" spans="1:12">
      <c r="A8" s="88">
        <f t="shared" si="0"/>
        <v>4</v>
      </c>
      <c r="B8" s="88">
        <v>1</v>
      </c>
      <c r="C8" s="88" t="s">
        <v>155</v>
      </c>
      <c r="D8" s="88"/>
      <c r="E8" s="88" t="s">
        <v>174</v>
      </c>
      <c r="F8" s="88" t="s">
        <v>157</v>
      </c>
      <c r="G8" s="88" t="s">
        <v>158</v>
      </c>
      <c r="H8" s="88">
        <v>10</v>
      </c>
      <c r="I8" s="88" t="s">
        <v>168</v>
      </c>
      <c r="J8" s="88" t="s">
        <v>173</v>
      </c>
      <c r="K8" s="89" t="s">
        <v>170</v>
      </c>
      <c r="L8" s="90" t="s">
        <v>175</v>
      </c>
    </row>
    <row r="9" spans="1:12">
      <c r="A9" s="88">
        <f t="shared" si="0"/>
        <v>5</v>
      </c>
      <c r="B9" s="97">
        <v>1</v>
      </c>
      <c r="C9" s="88" t="s">
        <v>155</v>
      </c>
      <c r="D9" s="97"/>
      <c r="E9" s="97" t="s">
        <v>176</v>
      </c>
      <c r="F9" s="88" t="s">
        <v>157</v>
      </c>
      <c r="G9" s="88" t="s">
        <v>177</v>
      </c>
      <c r="H9" s="97">
        <v>0</v>
      </c>
      <c r="I9" s="88" t="s">
        <v>160</v>
      </c>
      <c r="J9" s="88" t="s">
        <v>160</v>
      </c>
      <c r="K9" s="89" t="s">
        <v>178</v>
      </c>
      <c r="L9" s="90" t="s">
        <v>179</v>
      </c>
    </row>
    <row r="10" spans="1:12">
      <c r="A10" s="98">
        <f t="shared" si="0"/>
        <v>6</v>
      </c>
      <c r="B10" s="98">
        <v>10</v>
      </c>
      <c r="C10" s="98" t="s">
        <v>155</v>
      </c>
      <c r="D10" s="98"/>
      <c r="E10" s="98" t="s">
        <v>180</v>
      </c>
      <c r="F10" s="98" t="s">
        <v>160</v>
      </c>
      <c r="G10" s="98" t="s">
        <v>160</v>
      </c>
      <c r="H10" s="98" t="s">
        <v>160</v>
      </c>
      <c r="I10" s="98" t="s">
        <v>160</v>
      </c>
      <c r="J10" s="98" t="s">
        <v>160</v>
      </c>
      <c r="K10" s="99"/>
      <c r="L10" s="100" t="s">
        <v>181</v>
      </c>
    </row>
    <row r="11" spans="1:12">
      <c r="A11" s="127" t="s">
        <v>152</v>
      </c>
      <c r="B11" s="128"/>
      <c r="C11" s="128"/>
      <c r="D11" s="128"/>
      <c r="E11" s="128"/>
      <c r="F11" s="128"/>
      <c r="G11" s="91" t="s">
        <v>182</v>
      </c>
      <c r="H11" s="92">
        <f>A12</f>
        <v>16</v>
      </c>
      <c r="I11" s="93">
        <f>A12+B12-1</f>
        <v>45</v>
      </c>
      <c r="J11" s="94">
        <f>I11-H11+1</f>
        <v>30</v>
      </c>
      <c r="K11" s="129" t="s">
        <v>183</v>
      </c>
      <c r="L11" s="128"/>
    </row>
    <row r="12" spans="1:12">
      <c r="A12" s="101">
        <f>A10+B10</f>
        <v>16</v>
      </c>
      <c r="B12" s="101">
        <v>30</v>
      </c>
      <c r="C12" s="101" t="s">
        <v>180</v>
      </c>
      <c r="D12" s="102"/>
      <c r="E12" s="101" t="s">
        <v>180</v>
      </c>
      <c r="F12" s="101" t="s">
        <v>160</v>
      </c>
      <c r="G12" s="101" t="s">
        <v>160</v>
      </c>
      <c r="H12" s="101" t="s">
        <v>160</v>
      </c>
      <c r="I12" s="101" t="s">
        <v>160</v>
      </c>
      <c r="J12" s="101" t="s">
        <v>160</v>
      </c>
      <c r="K12" s="102"/>
      <c r="L12" s="103" t="s">
        <v>184</v>
      </c>
    </row>
    <row r="13" spans="1:12">
      <c r="A13" s="127" t="s">
        <v>152</v>
      </c>
      <c r="B13" s="128"/>
      <c r="C13" s="128"/>
      <c r="D13" s="128"/>
      <c r="E13" s="128"/>
      <c r="F13" s="128"/>
      <c r="G13" s="91" t="s">
        <v>185</v>
      </c>
      <c r="H13" s="92">
        <f>A14</f>
        <v>46</v>
      </c>
      <c r="I13" s="93">
        <f>A24+B24-1</f>
        <v>61</v>
      </c>
      <c r="J13" s="94">
        <f>I13-H13+1</f>
        <v>16</v>
      </c>
      <c r="K13" s="129" t="s">
        <v>186</v>
      </c>
      <c r="L13" s="128"/>
    </row>
    <row r="14" spans="1:12">
      <c r="A14" s="104">
        <f>A12+B12</f>
        <v>46</v>
      </c>
      <c r="B14" s="104">
        <v>1</v>
      </c>
      <c r="C14" s="104" t="s">
        <v>187</v>
      </c>
      <c r="D14" s="104" t="s">
        <v>188</v>
      </c>
      <c r="E14" s="104" t="s">
        <v>189</v>
      </c>
      <c r="F14" s="104" t="s">
        <v>190</v>
      </c>
      <c r="G14" s="104" t="s">
        <v>158</v>
      </c>
      <c r="H14" s="104">
        <v>0</v>
      </c>
      <c r="I14" s="104" t="s">
        <v>191</v>
      </c>
      <c r="J14" s="104" t="s">
        <v>192</v>
      </c>
      <c r="K14" s="105" t="s">
        <v>193</v>
      </c>
      <c r="L14" s="104" t="s">
        <v>194</v>
      </c>
    </row>
    <row r="15" spans="1:12">
      <c r="A15" s="104">
        <f t="shared" ref="A15:A24" si="1">A14+B14</f>
        <v>47</v>
      </c>
      <c r="B15" s="104">
        <v>1</v>
      </c>
      <c r="C15" s="104" t="s">
        <v>187</v>
      </c>
      <c r="D15" s="104" t="s">
        <v>188</v>
      </c>
      <c r="E15" s="104" t="s">
        <v>195</v>
      </c>
      <c r="F15" s="104" t="s">
        <v>190</v>
      </c>
      <c r="G15" s="104" t="s">
        <v>158</v>
      </c>
      <c r="H15" s="104">
        <v>0</v>
      </c>
      <c r="I15" s="104" t="s">
        <v>191</v>
      </c>
      <c r="J15" s="104" t="s">
        <v>192</v>
      </c>
      <c r="K15" s="105" t="s">
        <v>196</v>
      </c>
      <c r="L15" s="104" t="s">
        <v>197</v>
      </c>
    </row>
    <row r="16" spans="1:12">
      <c r="A16" s="104">
        <f t="shared" si="1"/>
        <v>48</v>
      </c>
      <c r="B16" s="104">
        <v>1</v>
      </c>
      <c r="C16" s="104" t="s">
        <v>187</v>
      </c>
      <c r="D16" s="104" t="s">
        <v>188</v>
      </c>
      <c r="E16" s="104" t="s">
        <v>198</v>
      </c>
      <c r="F16" s="104" t="s">
        <v>190</v>
      </c>
      <c r="G16" s="104" t="s">
        <v>158</v>
      </c>
      <c r="H16" s="104">
        <v>0</v>
      </c>
      <c r="I16" s="104" t="s">
        <v>191</v>
      </c>
      <c r="J16" s="104" t="s">
        <v>192</v>
      </c>
      <c r="K16" s="105" t="s">
        <v>196</v>
      </c>
      <c r="L16" s="88" t="s">
        <v>199</v>
      </c>
    </row>
    <row r="17" spans="1:12">
      <c r="A17" s="104">
        <f t="shared" si="1"/>
        <v>49</v>
      </c>
      <c r="B17" s="104">
        <v>1</v>
      </c>
      <c r="C17" s="104" t="s">
        <v>187</v>
      </c>
      <c r="D17" s="104" t="s">
        <v>188</v>
      </c>
      <c r="E17" s="104" t="s">
        <v>200</v>
      </c>
      <c r="F17" s="104" t="s">
        <v>190</v>
      </c>
      <c r="G17" s="104" t="s">
        <v>158</v>
      </c>
      <c r="H17" s="104">
        <v>0</v>
      </c>
      <c r="I17" s="104" t="s">
        <v>191</v>
      </c>
      <c r="J17" s="104" t="s">
        <v>192</v>
      </c>
      <c r="K17" s="105" t="s">
        <v>196</v>
      </c>
      <c r="L17" s="88" t="s">
        <v>201</v>
      </c>
    </row>
    <row r="18" spans="1:12">
      <c r="A18" s="104">
        <f t="shared" si="1"/>
        <v>50</v>
      </c>
      <c r="B18" s="104">
        <v>1</v>
      </c>
      <c r="C18" s="104" t="s">
        <v>187</v>
      </c>
      <c r="D18" s="104" t="s">
        <v>188</v>
      </c>
      <c r="E18" s="104" t="s">
        <v>202</v>
      </c>
      <c r="F18" s="104" t="s">
        <v>190</v>
      </c>
      <c r="G18" s="104" t="s">
        <v>158</v>
      </c>
      <c r="H18" s="104">
        <v>0</v>
      </c>
      <c r="I18" s="104" t="s">
        <v>191</v>
      </c>
      <c r="J18" s="104" t="s">
        <v>192</v>
      </c>
      <c r="K18" s="105" t="s">
        <v>196</v>
      </c>
      <c r="L18" s="104" t="s">
        <v>203</v>
      </c>
    </row>
    <row r="19" spans="1:12">
      <c r="A19" s="104">
        <f t="shared" si="1"/>
        <v>51</v>
      </c>
      <c r="B19" s="104">
        <v>3</v>
      </c>
      <c r="C19" s="104" t="s">
        <v>187</v>
      </c>
      <c r="D19" s="104" t="s">
        <v>188</v>
      </c>
      <c r="E19" s="104" t="s">
        <v>204</v>
      </c>
      <c r="F19" s="104" t="s">
        <v>190</v>
      </c>
      <c r="G19" s="104" t="s">
        <v>158</v>
      </c>
      <c r="H19" s="104">
        <v>0</v>
      </c>
      <c r="I19" s="104" t="s">
        <v>191</v>
      </c>
      <c r="J19" s="104" t="s">
        <v>192</v>
      </c>
      <c r="K19" s="105" t="s">
        <v>196</v>
      </c>
      <c r="L19" s="104" t="s">
        <v>205</v>
      </c>
    </row>
    <row r="20" spans="1:12">
      <c r="A20" s="88">
        <f t="shared" si="1"/>
        <v>54</v>
      </c>
      <c r="B20" s="88">
        <v>1</v>
      </c>
      <c r="C20" s="88" t="s">
        <v>206</v>
      </c>
      <c r="D20" s="88"/>
      <c r="E20" s="88" t="s">
        <v>176</v>
      </c>
      <c r="F20" s="104" t="s">
        <v>190</v>
      </c>
      <c r="G20" s="88" t="s">
        <v>177</v>
      </c>
      <c r="H20" s="88">
        <v>0</v>
      </c>
      <c r="I20" s="88" t="s">
        <v>160</v>
      </c>
      <c r="J20" s="88" t="s">
        <v>160</v>
      </c>
      <c r="K20" s="89" t="s">
        <v>178</v>
      </c>
      <c r="L20" s="90" t="s">
        <v>179</v>
      </c>
    </row>
    <row r="21" spans="1:12">
      <c r="A21" s="88">
        <f t="shared" si="1"/>
        <v>55</v>
      </c>
      <c r="B21" s="88">
        <v>1</v>
      </c>
      <c r="C21" s="88" t="s">
        <v>206</v>
      </c>
      <c r="D21" s="88"/>
      <c r="E21" s="88" t="s">
        <v>207</v>
      </c>
      <c r="F21" s="88" t="s">
        <v>190</v>
      </c>
      <c r="G21" s="88" t="s">
        <v>177</v>
      </c>
      <c r="H21" s="88">
        <v>0</v>
      </c>
      <c r="I21" s="88" t="s">
        <v>160</v>
      </c>
      <c r="J21" s="88" t="s">
        <v>160</v>
      </c>
      <c r="K21" s="95" t="s">
        <v>208</v>
      </c>
      <c r="L21" s="90" t="s">
        <v>209</v>
      </c>
    </row>
    <row r="22" spans="1:12">
      <c r="A22" s="88">
        <f t="shared" si="1"/>
        <v>56</v>
      </c>
      <c r="B22" s="88">
        <v>1</v>
      </c>
      <c r="C22" s="88" t="s">
        <v>206</v>
      </c>
      <c r="D22" s="88"/>
      <c r="E22" s="88" t="s">
        <v>210</v>
      </c>
      <c r="F22" s="88" t="s">
        <v>190</v>
      </c>
      <c r="G22" s="88" t="s">
        <v>177</v>
      </c>
      <c r="H22" s="88">
        <v>0</v>
      </c>
      <c r="I22" s="88" t="s">
        <v>160</v>
      </c>
      <c r="J22" s="88" t="s">
        <v>160</v>
      </c>
      <c r="K22" s="95" t="s">
        <v>208</v>
      </c>
      <c r="L22" s="90" t="s">
        <v>211</v>
      </c>
    </row>
    <row r="23" spans="1:12">
      <c r="A23" s="88">
        <f t="shared" si="1"/>
        <v>57</v>
      </c>
      <c r="B23" s="88">
        <v>1</v>
      </c>
      <c r="C23" s="88" t="s">
        <v>206</v>
      </c>
      <c r="D23" s="88"/>
      <c r="E23" s="88" t="s">
        <v>212</v>
      </c>
      <c r="F23" s="88" t="s">
        <v>190</v>
      </c>
      <c r="G23" s="88" t="s">
        <v>158</v>
      </c>
      <c r="H23" s="88">
        <v>0</v>
      </c>
      <c r="I23" s="88" t="s">
        <v>213</v>
      </c>
      <c r="J23" s="88" t="s">
        <v>160</v>
      </c>
      <c r="K23" s="89" t="s">
        <v>214</v>
      </c>
      <c r="L23" s="90" t="s">
        <v>215</v>
      </c>
    </row>
    <row r="24" spans="1:12">
      <c r="A24" s="88">
        <f t="shared" si="1"/>
        <v>58</v>
      </c>
      <c r="B24" s="88">
        <v>4</v>
      </c>
      <c r="C24" s="88" t="s">
        <v>206</v>
      </c>
      <c r="D24" s="88"/>
      <c r="E24" s="88" t="s">
        <v>216</v>
      </c>
      <c r="F24" s="88" t="s">
        <v>190</v>
      </c>
      <c r="G24" s="88" t="s">
        <v>217</v>
      </c>
      <c r="H24" s="88">
        <v>0</v>
      </c>
      <c r="I24" s="88" t="s">
        <v>218</v>
      </c>
      <c r="J24" s="88" t="s">
        <v>165</v>
      </c>
      <c r="K24" s="88" t="s">
        <v>160</v>
      </c>
      <c r="L24" s="90" t="s">
        <v>219</v>
      </c>
    </row>
    <row r="25" spans="1:12">
      <c r="A25" s="127" t="s">
        <v>220</v>
      </c>
      <c r="B25" s="128"/>
      <c r="C25" s="128"/>
      <c r="D25" s="128"/>
      <c r="E25" s="128"/>
      <c r="F25" s="131" t="s">
        <v>221</v>
      </c>
      <c r="G25" s="128"/>
      <c r="H25" s="92">
        <f>A26</f>
        <v>62</v>
      </c>
      <c r="I25" s="93">
        <f>A36+B36-1</f>
        <v>82</v>
      </c>
      <c r="J25" s="94">
        <f>I25-H25+1</f>
        <v>21</v>
      </c>
      <c r="K25" s="129" t="s">
        <v>222</v>
      </c>
      <c r="L25" s="128"/>
    </row>
    <row r="26" spans="1:12">
      <c r="A26" s="88">
        <f>A24+B24</f>
        <v>62</v>
      </c>
      <c r="B26" s="88">
        <v>2</v>
      </c>
      <c r="C26" s="88" t="s">
        <v>223</v>
      </c>
      <c r="D26" s="88" t="s">
        <v>224</v>
      </c>
      <c r="E26" s="88" t="s">
        <v>225</v>
      </c>
      <c r="F26" s="88" t="s">
        <v>190</v>
      </c>
      <c r="G26" s="88" t="s">
        <v>226</v>
      </c>
      <c r="H26" s="88">
        <v>0</v>
      </c>
      <c r="I26" s="88" t="s">
        <v>160</v>
      </c>
      <c r="J26" s="90" t="s">
        <v>227</v>
      </c>
      <c r="K26" s="89"/>
      <c r="L26" s="90" t="s">
        <v>228</v>
      </c>
    </row>
    <row r="27" spans="1:12">
      <c r="A27" s="88">
        <f t="shared" ref="A27:A36" si="2">A26+B26</f>
        <v>64</v>
      </c>
      <c r="B27" s="88">
        <v>2</v>
      </c>
      <c r="C27" s="88" t="s">
        <v>223</v>
      </c>
      <c r="D27" s="88" t="s">
        <v>224</v>
      </c>
      <c r="E27" s="88" t="s">
        <v>229</v>
      </c>
      <c r="F27" s="88" t="s">
        <v>190</v>
      </c>
      <c r="G27" s="88" t="s">
        <v>226</v>
      </c>
      <c r="H27" s="88">
        <v>0</v>
      </c>
      <c r="I27" s="88" t="s">
        <v>160</v>
      </c>
      <c r="J27" s="90" t="s">
        <v>227</v>
      </c>
      <c r="K27" s="89"/>
      <c r="L27" s="90" t="s">
        <v>230</v>
      </c>
    </row>
    <row r="28" spans="1:12">
      <c r="A28" s="88">
        <f t="shared" si="2"/>
        <v>66</v>
      </c>
      <c r="B28" s="88">
        <v>2</v>
      </c>
      <c r="C28" s="88" t="s">
        <v>223</v>
      </c>
      <c r="D28" s="88" t="s">
        <v>224</v>
      </c>
      <c r="E28" s="88" t="s">
        <v>231</v>
      </c>
      <c r="F28" s="88" t="s">
        <v>190</v>
      </c>
      <c r="G28" s="88" t="s">
        <v>226</v>
      </c>
      <c r="H28" s="88">
        <v>0</v>
      </c>
      <c r="I28" s="88" t="s">
        <v>160</v>
      </c>
      <c r="J28" s="90" t="s">
        <v>227</v>
      </c>
      <c r="K28" s="89"/>
      <c r="L28" s="90" t="s">
        <v>232</v>
      </c>
    </row>
    <row r="29" spans="1:12">
      <c r="A29" s="88">
        <f t="shared" si="2"/>
        <v>68</v>
      </c>
      <c r="B29" s="88">
        <v>2</v>
      </c>
      <c r="C29" s="88" t="s">
        <v>223</v>
      </c>
      <c r="D29" s="88" t="s">
        <v>224</v>
      </c>
      <c r="E29" s="88" t="s">
        <v>233</v>
      </c>
      <c r="F29" s="88" t="s">
        <v>190</v>
      </c>
      <c r="G29" s="88" t="s">
        <v>226</v>
      </c>
      <c r="H29" s="88">
        <v>0</v>
      </c>
      <c r="I29" s="88" t="s">
        <v>160</v>
      </c>
      <c r="J29" s="90" t="s">
        <v>227</v>
      </c>
      <c r="K29" s="89"/>
      <c r="L29" s="90" t="s">
        <v>234</v>
      </c>
    </row>
    <row r="30" spans="1:12">
      <c r="A30" s="88">
        <f t="shared" si="2"/>
        <v>70</v>
      </c>
      <c r="B30" s="88">
        <v>2</v>
      </c>
      <c r="C30" s="88" t="s">
        <v>223</v>
      </c>
      <c r="D30" s="88" t="s">
        <v>224</v>
      </c>
      <c r="E30" s="88" t="s">
        <v>235</v>
      </c>
      <c r="F30" s="88" t="s">
        <v>190</v>
      </c>
      <c r="G30" s="88" t="s">
        <v>226</v>
      </c>
      <c r="H30" s="88">
        <v>0</v>
      </c>
      <c r="I30" s="88" t="s">
        <v>160</v>
      </c>
      <c r="J30" s="88" t="s">
        <v>236</v>
      </c>
      <c r="K30" s="89"/>
      <c r="L30" s="90" t="s">
        <v>237</v>
      </c>
    </row>
    <row r="31" spans="1:12">
      <c r="A31" s="88">
        <f t="shared" si="2"/>
        <v>72</v>
      </c>
      <c r="B31" s="88">
        <v>2</v>
      </c>
      <c r="C31" s="88" t="s">
        <v>223</v>
      </c>
      <c r="D31" s="88" t="s">
        <v>224</v>
      </c>
      <c r="E31" s="88" t="s">
        <v>238</v>
      </c>
      <c r="F31" s="88" t="s">
        <v>190</v>
      </c>
      <c r="G31" s="88" t="s">
        <v>226</v>
      </c>
      <c r="H31" s="88">
        <v>0</v>
      </c>
      <c r="I31" s="88" t="s">
        <v>160</v>
      </c>
      <c r="J31" s="88" t="s">
        <v>236</v>
      </c>
      <c r="K31" s="89"/>
      <c r="L31" s="90" t="s">
        <v>239</v>
      </c>
    </row>
    <row r="32" spans="1:12">
      <c r="A32" s="88">
        <f t="shared" si="2"/>
        <v>74</v>
      </c>
      <c r="B32" s="88">
        <v>2</v>
      </c>
      <c r="C32" s="88" t="s">
        <v>223</v>
      </c>
      <c r="D32" s="88" t="s">
        <v>224</v>
      </c>
      <c r="E32" s="88" t="s">
        <v>240</v>
      </c>
      <c r="F32" s="88" t="s">
        <v>190</v>
      </c>
      <c r="G32" s="88" t="s">
        <v>226</v>
      </c>
      <c r="H32" s="88">
        <v>0</v>
      </c>
      <c r="I32" s="88" t="s">
        <v>160</v>
      </c>
      <c r="J32" s="88" t="s">
        <v>236</v>
      </c>
      <c r="K32" s="89"/>
      <c r="L32" s="90" t="s">
        <v>241</v>
      </c>
    </row>
    <row r="33" spans="1:12">
      <c r="A33" s="88">
        <f t="shared" si="2"/>
        <v>76</v>
      </c>
      <c r="B33" s="88">
        <v>2</v>
      </c>
      <c r="C33" s="88" t="s">
        <v>223</v>
      </c>
      <c r="D33" s="88" t="s">
        <v>224</v>
      </c>
      <c r="E33" s="88" t="s">
        <v>242</v>
      </c>
      <c r="F33" s="88" t="s">
        <v>190</v>
      </c>
      <c r="G33" s="88" t="s">
        <v>226</v>
      </c>
      <c r="H33" s="88">
        <v>0</v>
      </c>
      <c r="I33" s="88" t="s">
        <v>160</v>
      </c>
      <c r="J33" s="88" t="s">
        <v>243</v>
      </c>
      <c r="K33" s="89"/>
      <c r="L33" s="90" t="s">
        <v>244</v>
      </c>
    </row>
    <row r="34" spans="1:12">
      <c r="A34" s="88">
        <f t="shared" si="2"/>
        <v>78</v>
      </c>
      <c r="B34" s="88">
        <v>2</v>
      </c>
      <c r="C34" s="88" t="s">
        <v>223</v>
      </c>
      <c r="D34" s="88" t="s">
        <v>224</v>
      </c>
      <c r="E34" s="88" t="s">
        <v>245</v>
      </c>
      <c r="F34" s="88" t="s">
        <v>190</v>
      </c>
      <c r="G34" s="88" t="s">
        <v>226</v>
      </c>
      <c r="H34" s="88">
        <v>0</v>
      </c>
      <c r="I34" s="88" t="s">
        <v>160</v>
      </c>
      <c r="J34" s="88" t="s">
        <v>243</v>
      </c>
      <c r="K34" s="89"/>
      <c r="L34" s="90" t="s">
        <v>246</v>
      </c>
    </row>
    <row r="35" spans="1:12">
      <c r="A35" s="88">
        <f t="shared" si="2"/>
        <v>80</v>
      </c>
      <c r="B35" s="88">
        <v>2</v>
      </c>
      <c r="C35" s="88" t="s">
        <v>223</v>
      </c>
      <c r="D35" s="88" t="s">
        <v>224</v>
      </c>
      <c r="E35" s="88" t="s">
        <v>247</v>
      </c>
      <c r="F35" s="88" t="s">
        <v>190</v>
      </c>
      <c r="G35" s="88" t="s">
        <v>226</v>
      </c>
      <c r="H35" s="88">
        <v>0</v>
      </c>
      <c r="I35" s="88" t="s">
        <v>160</v>
      </c>
      <c r="J35" s="88" t="s">
        <v>243</v>
      </c>
      <c r="K35" s="89"/>
      <c r="L35" s="90" t="s">
        <v>248</v>
      </c>
    </row>
    <row r="36" spans="1:12">
      <c r="A36" s="106">
        <f t="shared" si="2"/>
        <v>82</v>
      </c>
      <c r="B36" s="106">
        <v>1</v>
      </c>
      <c r="C36" s="106" t="s">
        <v>223</v>
      </c>
      <c r="D36" s="106" t="s">
        <v>224</v>
      </c>
      <c r="E36" s="106" t="s">
        <v>249</v>
      </c>
      <c r="F36" s="106" t="s">
        <v>190</v>
      </c>
      <c r="G36" s="106" t="s">
        <v>177</v>
      </c>
      <c r="H36" s="106">
        <v>0</v>
      </c>
      <c r="I36" s="106" t="s">
        <v>160</v>
      </c>
      <c r="J36" s="106" t="s">
        <v>160</v>
      </c>
      <c r="K36" s="106" t="s">
        <v>160</v>
      </c>
      <c r="L36" s="106" t="s">
        <v>160</v>
      </c>
    </row>
    <row r="37" spans="1:12">
      <c r="A37" s="127" t="s">
        <v>220</v>
      </c>
      <c r="B37" s="128"/>
      <c r="C37" s="128"/>
      <c r="D37" s="128"/>
      <c r="E37" s="128"/>
      <c r="F37" s="131" t="s">
        <v>250</v>
      </c>
      <c r="G37" s="128"/>
      <c r="H37" s="92">
        <f>A38</f>
        <v>83</v>
      </c>
      <c r="I37" s="93">
        <f>A43+B43-1</f>
        <v>93</v>
      </c>
      <c r="J37" s="94">
        <f>I37-H37+1</f>
        <v>11</v>
      </c>
      <c r="K37" s="129" t="s">
        <v>251</v>
      </c>
      <c r="L37" s="128"/>
    </row>
    <row r="38" spans="1:12">
      <c r="A38" s="88">
        <f>A36+B36</f>
        <v>83</v>
      </c>
      <c r="B38" s="88">
        <v>2</v>
      </c>
      <c r="C38" s="88" t="s">
        <v>223</v>
      </c>
      <c r="D38" s="88" t="s">
        <v>252</v>
      </c>
      <c r="E38" s="88" t="s">
        <v>253</v>
      </c>
      <c r="F38" s="88" t="s">
        <v>190</v>
      </c>
      <c r="G38" s="88" t="s">
        <v>254</v>
      </c>
      <c r="H38" s="88">
        <v>0</v>
      </c>
      <c r="I38" s="88" t="s">
        <v>255</v>
      </c>
      <c r="J38" s="88" t="s">
        <v>256</v>
      </c>
      <c r="K38" s="89" t="s">
        <v>257</v>
      </c>
      <c r="L38" s="90" t="s">
        <v>258</v>
      </c>
    </row>
    <row r="39" spans="1:12">
      <c r="A39" s="88">
        <f t="shared" ref="A39:A43" si="3">A38+B38</f>
        <v>85</v>
      </c>
      <c r="B39" s="88">
        <v>2</v>
      </c>
      <c r="C39" s="88" t="s">
        <v>223</v>
      </c>
      <c r="D39" s="88" t="s">
        <v>252</v>
      </c>
      <c r="E39" s="88" t="s">
        <v>259</v>
      </c>
      <c r="F39" s="88" t="s">
        <v>190</v>
      </c>
      <c r="G39" s="88" t="s">
        <v>254</v>
      </c>
      <c r="H39" s="88">
        <v>0</v>
      </c>
      <c r="I39" s="88" t="s">
        <v>255</v>
      </c>
      <c r="J39" s="88" t="s">
        <v>256</v>
      </c>
      <c r="K39" s="95" t="s">
        <v>208</v>
      </c>
      <c r="L39" s="88" t="s">
        <v>260</v>
      </c>
    </row>
    <row r="40" spans="1:12">
      <c r="A40" s="88">
        <f t="shared" si="3"/>
        <v>87</v>
      </c>
      <c r="B40" s="88">
        <v>2</v>
      </c>
      <c r="C40" s="88" t="s">
        <v>223</v>
      </c>
      <c r="D40" s="88" t="s">
        <v>252</v>
      </c>
      <c r="E40" s="88" t="s">
        <v>261</v>
      </c>
      <c r="F40" s="88" t="s">
        <v>190</v>
      </c>
      <c r="G40" s="88" t="s">
        <v>254</v>
      </c>
      <c r="H40" s="88">
        <v>0</v>
      </c>
      <c r="I40" s="88" t="s">
        <v>255</v>
      </c>
      <c r="J40" s="88" t="s">
        <v>256</v>
      </c>
      <c r="K40" s="95" t="s">
        <v>208</v>
      </c>
      <c r="L40" s="88" t="s">
        <v>262</v>
      </c>
    </row>
    <row r="41" spans="1:12">
      <c r="A41" s="88">
        <f t="shared" si="3"/>
        <v>89</v>
      </c>
      <c r="B41" s="88">
        <v>2</v>
      </c>
      <c r="C41" s="88" t="s">
        <v>223</v>
      </c>
      <c r="D41" s="88" t="s">
        <v>252</v>
      </c>
      <c r="E41" s="88" t="s">
        <v>263</v>
      </c>
      <c r="F41" s="88" t="s">
        <v>190</v>
      </c>
      <c r="G41" s="88" t="s">
        <v>254</v>
      </c>
      <c r="H41" s="88">
        <v>0</v>
      </c>
      <c r="I41" s="88" t="s">
        <v>255</v>
      </c>
      <c r="J41" s="88" t="s">
        <v>256</v>
      </c>
      <c r="K41" s="95" t="s">
        <v>208</v>
      </c>
      <c r="L41" s="88" t="s">
        <v>264</v>
      </c>
    </row>
    <row r="42" spans="1:12">
      <c r="A42" s="88">
        <f t="shared" si="3"/>
        <v>91</v>
      </c>
      <c r="B42" s="88">
        <v>2</v>
      </c>
      <c r="C42" s="88" t="s">
        <v>223</v>
      </c>
      <c r="D42" s="88" t="s">
        <v>252</v>
      </c>
      <c r="E42" s="88" t="s">
        <v>265</v>
      </c>
      <c r="F42" s="88" t="s">
        <v>190</v>
      </c>
      <c r="G42" s="88" t="s">
        <v>254</v>
      </c>
      <c r="H42" s="88">
        <v>0</v>
      </c>
      <c r="I42" s="88" t="s">
        <v>255</v>
      </c>
      <c r="J42" s="88" t="s">
        <v>256</v>
      </c>
      <c r="K42" s="95" t="s">
        <v>208</v>
      </c>
      <c r="L42" s="88" t="s">
        <v>266</v>
      </c>
    </row>
    <row r="43" spans="1:12">
      <c r="A43" s="106">
        <f t="shared" si="3"/>
        <v>93</v>
      </c>
      <c r="B43" s="106">
        <v>1</v>
      </c>
      <c r="C43" s="106" t="s">
        <v>223</v>
      </c>
      <c r="D43" s="106" t="s">
        <v>252</v>
      </c>
      <c r="E43" s="106" t="s">
        <v>249</v>
      </c>
      <c r="F43" s="106" t="s">
        <v>190</v>
      </c>
      <c r="G43" s="106" t="s">
        <v>177</v>
      </c>
      <c r="H43" s="106">
        <v>0</v>
      </c>
      <c r="I43" s="106" t="s">
        <v>160</v>
      </c>
      <c r="J43" s="106"/>
      <c r="K43" s="107"/>
      <c r="L43" s="108"/>
    </row>
    <row r="44" spans="1:12">
      <c r="A44" s="127" t="s">
        <v>152</v>
      </c>
      <c r="B44" s="128"/>
      <c r="C44" s="128"/>
      <c r="D44" s="128"/>
      <c r="E44" s="128"/>
      <c r="F44" s="128"/>
      <c r="G44" s="91" t="s">
        <v>267</v>
      </c>
      <c r="H44" s="92">
        <f>A45</f>
        <v>94</v>
      </c>
      <c r="I44" s="93">
        <f>A45+B45-1</f>
        <v>94</v>
      </c>
      <c r="J44" s="94">
        <f>I44-H44+1</f>
        <v>1</v>
      </c>
      <c r="K44" s="129" t="s">
        <v>268</v>
      </c>
      <c r="L44" s="128"/>
    </row>
    <row r="45" spans="1:12">
      <c r="A45" s="106">
        <f>A43+B43</f>
        <v>94</v>
      </c>
      <c r="B45" s="106">
        <v>1</v>
      </c>
      <c r="C45" s="106" t="s">
        <v>269</v>
      </c>
      <c r="D45" s="106"/>
      <c r="E45" s="106" t="s">
        <v>249</v>
      </c>
      <c r="F45" s="106" t="s">
        <v>190</v>
      </c>
      <c r="G45" s="106" t="s">
        <v>177</v>
      </c>
      <c r="H45" s="106">
        <v>0</v>
      </c>
      <c r="I45" s="106" t="s">
        <v>160</v>
      </c>
      <c r="J45" s="106"/>
      <c r="K45" s="107"/>
      <c r="L45" s="108"/>
    </row>
    <row r="46" spans="1:12">
      <c r="A46" s="127" t="s">
        <v>152</v>
      </c>
      <c r="B46" s="128"/>
      <c r="C46" s="128"/>
      <c r="D46" s="128"/>
      <c r="E46" s="128"/>
      <c r="F46" s="128"/>
      <c r="G46" s="91" t="s">
        <v>270</v>
      </c>
      <c r="H46" s="92">
        <f>A47</f>
        <v>95</v>
      </c>
      <c r="I46" s="93">
        <f>A47+B47-1</f>
        <v>95</v>
      </c>
      <c r="J46" s="94">
        <f>I46-H46+1</f>
        <v>1</v>
      </c>
      <c r="K46" s="129" t="s">
        <v>271</v>
      </c>
      <c r="L46" s="128"/>
    </row>
    <row r="47" spans="1:12">
      <c r="A47" s="106">
        <f>A45+B45</f>
        <v>95</v>
      </c>
      <c r="B47" s="106">
        <v>1</v>
      </c>
      <c r="C47" s="106" t="s">
        <v>223</v>
      </c>
      <c r="D47" s="106" t="s">
        <v>272</v>
      </c>
      <c r="E47" s="106" t="s">
        <v>249</v>
      </c>
      <c r="F47" s="106" t="s">
        <v>190</v>
      </c>
      <c r="G47" s="106" t="s">
        <v>177</v>
      </c>
      <c r="H47" s="106">
        <v>0</v>
      </c>
      <c r="I47" s="106" t="s">
        <v>160</v>
      </c>
      <c r="J47" s="106"/>
      <c r="K47" s="107"/>
      <c r="L47" s="108"/>
    </row>
    <row r="48" spans="1:12">
      <c r="A48" s="127" t="s">
        <v>220</v>
      </c>
      <c r="B48" s="128"/>
      <c r="C48" s="128"/>
      <c r="D48" s="128"/>
      <c r="E48" s="128"/>
      <c r="F48" s="131" t="s">
        <v>273</v>
      </c>
      <c r="G48" s="128"/>
      <c r="H48" s="92">
        <f>A49</f>
        <v>96</v>
      </c>
      <c r="I48" s="93">
        <f>A67+B67-1</f>
        <v>127</v>
      </c>
      <c r="J48" s="94">
        <f>I48-H48+1</f>
        <v>32</v>
      </c>
      <c r="K48" s="129" t="s">
        <v>274</v>
      </c>
      <c r="L48" s="128"/>
    </row>
    <row r="49" spans="1:12">
      <c r="A49" s="88">
        <f>A47+B47</f>
        <v>96</v>
      </c>
      <c r="B49" s="88">
        <v>2</v>
      </c>
      <c r="C49" s="88" t="s">
        <v>275</v>
      </c>
      <c r="D49" s="88" t="s">
        <v>276</v>
      </c>
      <c r="E49" s="88" t="s">
        <v>277</v>
      </c>
      <c r="F49" s="88" t="s">
        <v>190</v>
      </c>
      <c r="G49" s="88" t="s">
        <v>226</v>
      </c>
      <c r="H49" s="88">
        <v>0</v>
      </c>
      <c r="I49" s="88" t="s">
        <v>160</v>
      </c>
      <c r="J49" s="88" t="s">
        <v>278</v>
      </c>
      <c r="K49" s="89"/>
      <c r="L49" s="88" t="s">
        <v>279</v>
      </c>
    </row>
    <row r="50" spans="1:12">
      <c r="A50" s="88">
        <f t="shared" ref="A50:A67" si="4">A49+B49</f>
        <v>98</v>
      </c>
      <c r="B50" s="88">
        <v>2</v>
      </c>
      <c r="C50" s="88" t="s">
        <v>275</v>
      </c>
      <c r="D50" s="88" t="s">
        <v>276</v>
      </c>
      <c r="E50" s="88" t="s">
        <v>280</v>
      </c>
      <c r="F50" s="88" t="s">
        <v>190</v>
      </c>
      <c r="G50" s="88" t="s">
        <v>226</v>
      </c>
      <c r="H50" s="88">
        <v>0</v>
      </c>
      <c r="I50" s="88" t="s">
        <v>160</v>
      </c>
      <c r="J50" s="88" t="s">
        <v>278</v>
      </c>
      <c r="K50" s="89"/>
      <c r="L50" s="88" t="s">
        <v>281</v>
      </c>
    </row>
    <row r="51" spans="1:12">
      <c r="A51" s="88">
        <f t="shared" si="4"/>
        <v>100</v>
      </c>
      <c r="B51" s="88">
        <v>2</v>
      </c>
      <c r="C51" s="88" t="s">
        <v>275</v>
      </c>
      <c r="D51" s="88" t="s">
        <v>276</v>
      </c>
      <c r="E51" s="88" t="s">
        <v>282</v>
      </c>
      <c r="F51" s="88" t="s">
        <v>190</v>
      </c>
      <c r="G51" s="88" t="s">
        <v>226</v>
      </c>
      <c r="H51" s="88">
        <v>0</v>
      </c>
      <c r="I51" s="88" t="s">
        <v>160</v>
      </c>
      <c r="J51" s="88" t="s">
        <v>278</v>
      </c>
      <c r="K51" s="89"/>
      <c r="L51" s="88" t="s">
        <v>283</v>
      </c>
    </row>
    <row r="52" spans="1:12">
      <c r="A52" s="88">
        <f t="shared" si="4"/>
        <v>102</v>
      </c>
      <c r="B52" s="88">
        <v>2</v>
      </c>
      <c r="C52" s="88" t="s">
        <v>275</v>
      </c>
      <c r="D52" s="88" t="s">
        <v>276</v>
      </c>
      <c r="E52" s="88" t="s">
        <v>284</v>
      </c>
      <c r="F52" s="88" t="s">
        <v>190</v>
      </c>
      <c r="G52" s="88" t="s">
        <v>226</v>
      </c>
      <c r="H52" s="88">
        <v>0</v>
      </c>
      <c r="I52" s="88" t="s">
        <v>160</v>
      </c>
      <c r="J52" s="88" t="s">
        <v>278</v>
      </c>
      <c r="K52" s="89"/>
      <c r="L52" s="88" t="s">
        <v>285</v>
      </c>
    </row>
    <row r="53" spans="1:12">
      <c r="A53" s="88">
        <f t="shared" si="4"/>
        <v>104</v>
      </c>
      <c r="B53" s="88">
        <v>2</v>
      </c>
      <c r="C53" s="88" t="s">
        <v>275</v>
      </c>
      <c r="D53" s="88" t="s">
        <v>276</v>
      </c>
      <c r="E53" s="88" t="s">
        <v>286</v>
      </c>
      <c r="F53" s="88" t="s">
        <v>190</v>
      </c>
      <c r="G53" s="88" t="s">
        <v>226</v>
      </c>
      <c r="H53" s="88">
        <v>0</v>
      </c>
      <c r="I53" s="88" t="s">
        <v>160</v>
      </c>
      <c r="J53" s="88" t="s">
        <v>287</v>
      </c>
      <c r="K53" s="89"/>
      <c r="L53" s="88" t="s">
        <v>288</v>
      </c>
    </row>
    <row r="54" spans="1:12">
      <c r="A54" s="88">
        <f t="shared" si="4"/>
        <v>106</v>
      </c>
      <c r="B54" s="88">
        <v>2</v>
      </c>
      <c r="C54" s="88" t="s">
        <v>275</v>
      </c>
      <c r="D54" s="88" t="s">
        <v>276</v>
      </c>
      <c r="E54" s="88" t="s">
        <v>289</v>
      </c>
      <c r="F54" s="88" t="s">
        <v>190</v>
      </c>
      <c r="G54" s="88" t="s">
        <v>226</v>
      </c>
      <c r="H54" s="88">
        <v>0</v>
      </c>
      <c r="I54" s="88" t="s">
        <v>160</v>
      </c>
      <c r="J54" s="88" t="s">
        <v>287</v>
      </c>
      <c r="K54" s="89"/>
      <c r="L54" s="88"/>
    </row>
    <row r="55" spans="1:12">
      <c r="A55" s="88">
        <f t="shared" si="4"/>
        <v>108</v>
      </c>
      <c r="B55" s="88">
        <v>2</v>
      </c>
      <c r="C55" s="88" t="s">
        <v>275</v>
      </c>
      <c r="D55" s="88" t="s">
        <v>276</v>
      </c>
      <c r="E55" s="88" t="s">
        <v>290</v>
      </c>
      <c r="F55" s="88" t="s">
        <v>190</v>
      </c>
      <c r="G55" s="88" t="s">
        <v>226</v>
      </c>
      <c r="H55" s="88">
        <v>0</v>
      </c>
      <c r="I55" s="88" t="s">
        <v>160</v>
      </c>
      <c r="J55" s="88" t="s">
        <v>287</v>
      </c>
      <c r="K55" s="89"/>
      <c r="L55" s="88"/>
    </row>
    <row r="56" spans="1:12">
      <c r="A56" s="88">
        <f t="shared" si="4"/>
        <v>110</v>
      </c>
      <c r="B56" s="88">
        <v>2</v>
      </c>
      <c r="C56" s="88" t="s">
        <v>275</v>
      </c>
      <c r="D56" s="88" t="s">
        <v>276</v>
      </c>
      <c r="E56" s="88" t="s">
        <v>291</v>
      </c>
      <c r="F56" s="88" t="s">
        <v>190</v>
      </c>
      <c r="G56" s="88" t="s">
        <v>226</v>
      </c>
      <c r="H56" s="88">
        <v>0</v>
      </c>
      <c r="I56" s="88" t="s">
        <v>160</v>
      </c>
      <c r="J56" s="88" t="s">
        <v>287</v>
      </c>
      <c r="K56" s="89"/>
      <c r="L56" s="88"/>
    </row>
    <row r="57" spans="1:12">
      <c r="A57" s="88">
        <f t="shared" si="4"/>
        <v>112</v>
      </c>
      <c r="B57" s="88">
        <v>2</v>
      </c>
      <c r="C57" s="88" t="s">
        <v>275</v>
      </c>
      <c r="D57" s="88" t="s">
        <v>276</v>
      </c>
      <c r="E57" s="88" t="s">
        <v>292</v>
      </c>
      <c r="F57" s="88" t="s">
        <v>190</v>
      </c>
      <c r="G57" s="88" t="s">
        <v>226</v>
      </c>
      <c r="H57" s="88">
        <v>0</v>
      </c>
      <c r="I57" s="88" t="s">
        <v>160</v>
      </c>
      <c r="J57" s="88" t="s">
        <v>293</v>
      </c>
      <c r="K57" s="89"/>
      <c r="L57" s="88" t="s">
        <v>288</v>
      </c>
    </row>
    <row r="58" spans="1:12">
      <c r="A58" s="88">
        <f t="shared" si="4"/>
        <v>114</v>
      </c>
      <c r="B58" s="88">
        <v>2</v>
      </c>
      <c r="C58" s="88" t="s">
        <v>275</v>
      </c>
      <c r="D58" s="88" t="s">
        <v>276</v>
      </c>
      <c r="E58" s="88" t="s">
        <v>294</v>
      </c>
      <c r="F58" s="88" t="s">
        <v>190</v>
      </c>
      <c r="G58" s="88" t="s">
        <v>226</v>
      </c>
      <c r="H58" s="88">
        <v>0</v>
      </c>
      <c r="I58" s="88" t="s">
        <v>160</v>
      </c>
      <c r="J58" s="88" t="s">
        <v>293</v>
      </c>
      <c r="K58" s="89"/>
      <c r="L58" s="88"/>
    </row>
    <row r="59" spans="1:12">
      <c r="A59" s="88">
        <f t="shared" si="4"/>
        <v>116</v>
      </c>
      <c r="B59" s="88">
        <v>2</v>
      </c>
      <c r="C59" s="88" t="s">
        <v>275</v>
      </c>
      <c r="D59" s="88" t="s">
        <v>276</v>
      </c>
      <c r="E59" s="88" t="s">
        <v>295</v>
      </c>
      <c r="F59" s="88" t="s">
        <v>190</v>
      </c>
      <c r="G59" s="88" t="s">
        <v>226</v>
      </c>
      <c r="H59" s="88">
        <v>0</v>
      </c>
      <c r="I59" s="88" t="s">
        <v>160</v>
      </c>
      <c r="J59" s="88" t="s">
        <v>293</v>
      </c>
      <c r="K59" s="89"/>
      <c r="L59" s="88"/>
    </row>
    <row r="60" spans="1:12">
      <c r="A60" s="88">
        <f t="shared" si="4"/>
        <v>118</v>
      </c>
      <c r="B60" s="88">
        <v>2</v>
      </c>
      <c r="C60" s="88" t="s">
        <v>275</v>
      </c>
      <c r="D60" s="88" t="s">
        <v>276</v>
      </c>
      <c r="E60" s="88" t="s">
        <v>296</v>
      </c>
      <c r="F60" s="88" t="s">
        <v>190</v>
      </c>
      <c r="G60" s="88" t="s">
        <v>226</v>
      </c>
      <c r="H60" s="88">
        <v>0</v>
      </c>
      <c r="I60" s="88" t="s">
        <v>160</v>
      </c>
      <c r="J60" s="88" t="s">
        <v>293</v>
      </c>
      <c r="K60" s="89"/>
      <c r="L60" s="88"/>
    </row>
    <row r="61" spans="1:12">
      <c r="A61" s="88">
        <f t="shared" si="4"/>
        <v>120</v>
      </c>
      <c r="B61" s="88">
        <v>1</v>
      </c>
      <c r="C61" s="88" t="s">
        <v>275</v>
      </c>
      <c r="D61" s="88" t="s">
        <v>276</v>
      </c>
      <c r="E61" s="88" t="s">
        <v>297</v>
      </c>
      <c r="F61" s="88" t="s">
        <v>190</v>
      </c>
      <c r="G61" s="88" t="s">
        <v>298</v>
      </c>
      <c r="H61" s="88">
        <v>0</v>
      </c>
      <c r="I61" s="88" t="s">
        <v>299</v>
      </c>
      <c r="J61" s="88" t="s">
        <v>300</v>
      </c>
      <c r="K61" s="89"/>
      <c r="L61" s="88" t="s">
        <v>288</v>
      </c>
    </row>
    <row r="62" spans="1:12">
      <c r="A62" s="88">
        <f t="shared" si="4"/>
        <v>121</v>
      </c>
      <c r="B62" s="88">
        <v>1</v>
      </c>
      <c r="C62" s="88" t="s">
        <v>275</v>
      </c>
      <c r="D62" s="88" t="s">
        <v>276</v>
      </c>
      <c r="E62" s="88" t="s">
        <v>301</v>
      </c>
      <c r="F62" s="88" t="s">
        <v>190</v>
      </c>
      <c r="G62" s="88" t="s">
        <v>298</v>
      </c>
      <c r="H62" s="88">
        <v>0</v>
      </c>
      <c r="I62" s="88" t="s">
        <v>299</v>
      </c>
      <c r="J62" s="88" t="s">
        <v>300</v>
      </c>
      <c r="K62" s="89"/>
      <c r="L62" s="88"/>
    </row>
    <row r="63" spans="1:12">
      <c r="A63" s="88">
        <f t="shared" si="4"/>
        <v>122</v>
      </c>
      <c r="B63" s="88">
        <v>1</v>
      </c>
      <c r="C63" s="88" t="s">
        <v>275</v>
      </c>
      <c r="D63" s="88" t="s">
        <v>276</v>
      </c>
      <c r="E63" s="88" t="s">
        <v>302</v>
      </c>
      <c r="F63" s="88" t="s">
        <v>190</v>
      </c>
      <c r="G63" s="88" t="s">
        <v>298</v>
      </c>
      <c r="H63" s="88">
        <v>0</v>
      </c>
      <c r="I63" s="88" t="s">
        <v>299</v>
      </c>
      <c r="J63" s="88" t="s">
        <v>300</v>
      </c>
      <c r="K63" s="89"/>
      <c r="L63" s="88"/>
    </row>
    <row r="64" spans="1:12">
      <c r="A64" s="88">
        <f t="shared" si="4"/>
        <v>123</v>
      </c>
      <c r="B64" s="88">
        <v>1</v>
      </c>
      <c r="C64" s="88" t="s">
        <v>275</v>
      </c>
      <c r="D64" s="88" t="s">
        <v>276</v>
      </c>
      <c r="E64" s="88" t="s">
        <v>303</v>
      </c>
      <c r="F64" s="88" t="s">
        <v>190</v>
      </c>
      <c r="G64" s="88" t="s">
        <v>298</v>
      </c>
      <c r="H64" s="88">
        <v>0</v>
      </c>
      <c r="I64" s="88" t="s">
        <v>299</v>
      </c>
      <c r="J64" s="88" t="s">
        <v>300</v>
      </c>
      <c r="K64" s="89"/>
      <c r="L64" s="88"/>
    </row>
    <row r="65" spans="1:12">
      <c r="A65" s="88">
        <f t="shared" si="4"/>
        <v>124</v>
      </c>
      <c r="B65" s="88">
        <v>2</v>
      </c>
      <c r="C65" s="88" t="s">
        <v>275</v>
      </c>
      <c r="D65" s="88" t="s">
        <v>276</v>
      </c>
      <c r="E65" s="88" t="s">
        <v>304</v>
      </c>
      <c r="F65" s="88" t="s">
        <v>190</v>
      </c>
      <c r="G65" s="88" t="s">
        <v>305</v>
      </c>
      <c r="H65" s="88">
        <v>0</v>
      </c>
      <c r="I65" s="88" t="s">
        <v>160</v>
      </c>
      <c r="J65" s="88" t="s">
        <v>160</v>
      </c>
      <c r="K65" s="109" t="s">
        <v>306</v>
      </c>
      <c r="L65" s="88" t="s">
        <v>307</v>
      </c>
    </row>
    <row r="66" spans="1:12">
      <c r="A66" s="110">
        <f t="shared" si="4"/>
        <v>126</v>
      </c>
      <c r="B66" s="110">
        <v>1</v>
      </c>
      <c r="C66" s="110" t="s">
        <v>275</v>
      </c>
      <c r="D66" s="110" t="s">
        <v>276</v>
      </c>
      <c r="E66" s="110" t="s">
        <v>308</v>
      </c>
      <c r="F66" s="110" t="s">
        <v>190</v>
      </c>
      <c r="G66" s="110" t="s">
        <v>309</v>
      </c>
      <c r="H66" s="110">
        <v>0</v>
      </c>
      <c r="I66" s="110" t="s">
        <v>160</v>
      </c>
      <c r="J66" s="110"/>
      <c r="K66" s="111" t="s">
        <v>310</v>
      </c>
      <c r="L66" s="112" t="s">
        <v>311</v>
      </c>
    </row>
    <row r="67" spans="1:12">
      <c r="A67" s="106">
        <f t="shared" si="4"/>
        <v>127</v>
      </c>
      <c r="B67" s="106">
        <v>1</v>
      </c>
      <c r="C67" s="106" t="s">
        <v>275</v>
      </c>
      <c r="D67" s="106" t="s">
        <v>276</v>
      </c>
      <c r="E67" s="106" t="s">
        <v>249</v>
      </c>
      <c r="F67" s="106" t="s">
        <v>190</v>
      </c>
      <c r="G67" s="106" t="s">
        <v>177</v>
      </c>
      <c r="H67" s="106">
        <v>0</v>
      </c>
      <c r="I67" s="106" t="s">
        <v>160</v>
      </c>
      <c r="J67" s="106" t="s">
        <v>160</v>
      </c>
      <c r="K67" s="106" t="s">
        <v>160</v>
      </c>
      <c r="L67" s="106" t="s">
        <v>160</v>
      </c>
    </row>
    <row r="68" spans="1:12">
      <c r="A68" s="127" t="s">
        <v>220</v>
      </c>
      <c r="B68" s="128"/>
      <c r="C68" s="128"/>
      <c r="D68" s="128"/>
      <c r="E68" s="128"/>
      <c r="F68" s="131" t="s">
        <v>312</v>
      </c>
      <c r="G68" s="128"/>
      <c r="H68" s="92">
        <f>A69</f>
        <v>128</v>
      </c>
      <c r="I68" s="93">
        <f>A84+B84-1</f>
        <v>179</v>
      </c>
      <c r="J68" s="94">
        <f>I68-H68+1</f>
        <v>52</v>
      </c>
      <c r="K68" s="129" t="s">
        <v>313</v>
      </c>
      <c r="L68" s="128"/>
    </row>
    <row r="69" spans="1:12">
      <c r="A69" s="113">
        <f>A67+B67</f>
        <v>128</v>
      </c>
      <c r="B69" s="88">
        <v>1</v>
      </c>
      <c r="C69" s="88" t="s">
        <v>275</v>
      </c>
      <c r="D69" s="88" t="s">
        <v>188</v>
      </c>
      <c r="E69" s="88" t="s">
        <v>314</v>
      </c>
      <c r="F69" s="88" t="s">
        <v>157</v>
      </c>
      <c r="G69" s="88" t="s">
        <v>158</v>
      </c>
      <c r="H69" s="88">
        <v>3</v>
      </c>
      <c r="I69" s="88" t="s">
        <v>315</v>
      </c>
      <c r="J69" s="88"/>
      <c r="K69" s="89" t="s">
        <v>316</v>
      </c>
      <c r="L69" s="88" t="s">
        <v>317</v>
      </c>
    </row>
    <row r="70" spans="1:12">
      <c r="A70" s="88">
        <f t="shared" ref="A70:A84" si="5">A69+B69</f>
        <v>129</v>
      </c>
      <c r="B70" s="88">
        <v>1</v>
      </c>
      <c r="C70" s="88" t="s">
        <v>275</v>
      </c>
      <c r="D70" s="88" t="s">
        <v>188</v>
      </c>
      <c r="E70" s="88" t="s">
        <v>318</v>
      </c>
      <c r="F70" s="88" t="s">
        <v>157</v>
      </c>
      <c r="G70" s="88" t="s">
        <v>158</v>
      </c>
      <c r="H70" s="88">
        <v>3</v>
      </c>
      <c r="I70" s="88" t="s">
        <v>315</v>
      </c>
      <c r="J70" s="88"/>
      <c r="K70" s="109" t="s">
        <v>319</v>
      </c>
      <c r="L70" s="88"/>
    </row>
    <row r="71" spans="1:12">
      <c r="A71" s="88">
        <f t="shared" si="5"/>
        <v>130</v>
      </c>
      <c r="B71" s="88">
        <v>1</v>
      </c>
      <c r="C71" s="88" t="s">
        <v>275</v>
      </c>
      <c r="D71" s="88" t="s">
        <v>188</v>
      </c>
      <c r="E71" s="88" t="s">
        <v>320</v>
      </c>
      <c r="F71" s="88" t="s">
        <v>157</v>
      </c>
      <c r="G71" s="88" t="s">
        <v>158</v>
      </c>
      <c r="H71" s="88">
        <v>3</v>
      </c>
      <c r="I71" s="88" t="s">
        <v>315</v>
      </c>
      <c r="J71" s="88"/>
      <c r="K71" s="109" t="s">
        <v>321</v>
      </c>
      <c r="L71" s="88"/>
    </row>
    <row r="72" spans="1:12">
      <c r="A72" s="88">
        <f t="shared" si="5"/>
        <v>131</v>
      </c>
      <c r="B72" s="88">
        <v>1</v>
      </c>
      <c r="C72" s="88" t="s">
        <v>275</v>
      </c>
      <c r="D72" s="88" t="s">
        <v>188</v>
      </c>
      <c r="E72" s="88" t="s">
        <v>322</v>
      </c>
      <c r="F72" s="88" t="s">
        <v>157</v>
      </c>
      <c r="G72" s="88" t="s">
        <v>158</v>
      </c>
      <c r="H72" s="88">
        <v>3</v>
      </c>
      <c r="I72" s="88" t="s">
        <v>315</v>
      </c>
      <c r="J72" s="88"/>
      <c r="K72" s="109" t="s">
        <v>321</v>
      </c>
      <c r="L72" s="88"/>
    </row>
    <row r="73" spans="1:12">
      <c r="A73" s="88">
        <f t="shared" si="5"/>
        <v>132</v>
      </c>
      <c r="B73" s="88">
        <v>4</v>
      </c>
      <c r="C73" s="88" t="s">
        <v>275</v>
      </c>
      <c r="D73" s="88" t="s">
        <v>188</v>
      </c>
      <c r="E73" s="88" t="s">
        <v>323</v>
      </c>
      <c r="F73" s="88" t="s">
        <v>157</v>
      </c>
      <c r="G73" s="88" t="s">
        <v>324</v>
      </c>
      <c r="H73" s="88">
        <v>0</v>
      </c>
      <c r="I73" s="88" t="s">
        <v>160</v>
      </c>
      <c r="J73" s="88" t="s">
        <v>325</v>
      </c>
      <c r="K73" s="89"/>
      <c r="L73" s="90" t="s">
        <v>326</v>
      </c>
    </row>
    <row r="74" spans="1:12">
      <c r="A74" s="88">
        <f t="shared" si="5"/>
        <v>136</v>
      </c>
      <c r="B74" s="88">
        <v>4</v>
      </c>
      <c r="C74" s="88" t="s">
        <v>275</v>
      </c>
      <c r="D74" s="88" t="s">
        <v>188</v>
      </c>
      <c r="E74" s="88" t="s">
        <v>327</v>
      </c>
      <c r="F74" s="88" t="s">
        <v>157</v>
      </c>
      <c r="G74" s="88" t="s">
        <v>324</v>
      </c>
      <c r="H74" s="88">
        <v>0</v>
      </c>
      <c r="I74" s="88" t="s">
        <v>160</v>
      </c>
      <c r="J74" s="88" t="s">
        <v>325</v>
      </c>
      <c r="K74" s="89"/>
      <c r="L74" s="88"/>
    </row>
    <row r="75" spans="1:12">
      <c r="A75" s="88">
        <f t="shared" si="5"/>
        <v>140</v>
      </c>
      <c r="B75" s="88">
        <v>4</v>
      </c>
      <c r="C75" s="88" t="s">
        <v>275</v>
      </c>
      <c r="D75" s="88" t="s">
        <v>188</v>
      </c>
      <c r="E75" s="88" t="s">
        <v>328</v>
      </c>
      <c r="F75" s="88" t="s">
        <v>157</v>
      </c>
      <c r="G75" s="88" t="s">
        <v>324</v>
      </c>
      <c r="H75" s="88">
        <v>0</v>
      </c>
      <c r="I75" s="88" t="s">
        <v>160</v>
      </c>
      <c r="J75" s="88" t="s">
        <v>325</v>
      </c>
      <c r="K75" s="89"/>
      <c r="L75" s="88"/>
    </row>
    <row r="76" spans="1:12">
      <c r="A76" s="88">
        <f t="shared" si="5"/>
        <v>144</v>
      </c>
      <c r="B76" s="88">
        <v>4</v>
      </c>
      <c r="C76" s="88" t="s">
        <v>275</v>
      </c>
      <c r="D76" s="88" t="s">
        <v>188</v>
      </c>
      <c r="E76" s="88" t="s">
        <v>329</v>
      </c>
      <c r="F76" s="88" t="s">
        <v>157</v>
      </c>
      <c r="G76" s="88" t="s">
        <v>324</v>
      </c>
      <c r="H76" s="88">
        <v>0</v>
      </c>
      <c r="I76" s="88" t="s">
        <v>160</v>
      </c>
      <c r="J76" s="88" t="s">
        <v>325</v>
      </c>
      <c r="K76" s="89"/>
      <c r="L76" s="88"/>
    </row>
    <row r="77" spans="1:12">
      <c r="A77" s="88">
        <f t="shared" si="5"/>
        <v>148</v>
      </c>
      <c r="B77" s="88">
        <v>4</v>
      </c>
      <c r="C77" s="88" t="s">
        <v>275</v>
      </c>
      <c r="D77" s="88" t="s">
        <v>188</v>
      </c>
      <c r="E77" s="88" t="s">
        <v>330</v>
      </c>
      <c r="F77" s="88" t="s">
        <v>157</v>
      </c>
      <c r="G77" s="88" t="s">
        <v>324</v>
      </c>
      <c r="H77" s="88">
        <v>0</v>
      </c>
      <c r="I77" s="88" t="s">
        <v>160</v>
      </c>
      <c r="J77" s="88" t="s">
        <v>331</v>
      </c>
      <c r="K77" s="89"/>
      <c r="L77" s="90" t="s">
        <v>332</v>
      </c>
    </row>
    <row r="78" spans="1:12">
      <c r="A78" s="88">
        <f t="shared" si="5"/>
        <v>152</v>
      </c>
      <c r="B78" s="88">
        <v>4</v>
      </c>
      <c r="C78" s="88" t="s">
        <v>275</v>
      </c>
      <c r="D78" s="88" t="s">
        <v>188</v>
      </c>
      <c r="E78" s="88" t="s">
        <v>333</v>
      </c>
      <c r="F78" s="88" t="s">
        <v>157</v>
      </c>
      <c r="G78" s="88" t="s">
        <v>324</v>
      </c>
      <c r="H78" s="88">
        <v>0</v>
      </c>
      <c r="I78" s="88" t="s">
        <v>160</v>
      </c>
      <c r="J78" s="88" t="s">
        <v>331</v>
      </c>
      <c r="K78" s="89"/>
      <c r="L78" s="88"/>
    </row>
    <row r="79" spans="1:12">
      <c r="A79" s="88">
        <f t="shared" si="5"/>
        <v>156</v>
      </c>
      <c r="B79" s="88">
        <v>4</v>
      </c>
      <c r="C79" s="88" t="s">
        <v>275</v>
      </c>
      <c r="D79" s="88" t="s">
        <v>188</v>
      </c>
      <c r="E79" s="88" t="s">
        <v>334</v>
      </c>
      <c r="F79" s="88" t="s">
        <v>157</v>
      </c>
      <c r="G79" s="88" t="s">
        <v>324</v>
      </c>
      <c r="H79" s="88">
        <v>0</v>
      </c>
      <c r="I79" s="88" t="s">
        <v>160</v>
      </c>
      <c r="J79" s="88" t="s">
        <v>331</v>
      </c>
      <c r="K79" s="89"/>
      <c r="L79" s="88"/>
    </row>
    <row r="80" spans="1:12">
      <c r="A80" s="88">
        <f t="shared" si="5"/>
        <v>160</v>
      </c>
      <c r="B80" s="88">
        <v>4</v>
      </c>
      <c r="C80" s="88" t="s">
        <v>275</v>
      </c>
      <c r="D80" s="88" t="s">
        <v>188</v>
      </c>
      <c r="E80" s="88" t="s">
        <v>335</v>
      </c>
      <c r="F80" s="88" t="s">
        <v>157</v>
      </c>
      <c r="G80" s="88" t="s">
        <v>324</v>
      </c>
      <c r="H80" s="88">
        <v>0</v>
      </c>
      <c r="I80" s="88" t="s">
        <v>160</v>
      </c>
      <c r="J80" s="88" t="s">
        <v>331</v>
      </c>
      <c r="K80" s="89"/>
      <c r="L80" s="88"/>
    </row>
    <row r="81" spans="1:12">
      <c r="A81" s="88">
        <f t="shared" si="5"/>
        <v>164</v>
      </c>
      <c r="B81" s="88">
        <v>4</v>
      </c>
      <c r="C81" s="88" t="s">
        <v>275</v>
      </c>
      <c r="D81" s="88" t="s">
        <v>188</v>
      </c>
      <c r="E81" s="88" t="s">
        <v>336</v>
      </c>
      <c r="F81" s="88" t="s">
        <v>157</v>
      </c>
      <c r="G81" s="88" t="s">
        <v>324</v>
      </c>
      <c r="H81" s="88">
        <v>0</v>
      </c>
      <c r="I81" s="88" t="s">
        <v>160</v>
      </c>
      <c r="J81" s="88" t="s">
        <v>337</v>
      </c>
      <c r="K81" s="89"/>
      <c r="L81" s="90" t="s">
        <v>338</v>
      </c>
    </row>
    <row r="82" spans="1:12">
      <c r="A82" s="88">
        <f t="shared" si="5"/>
        <v>168</v>
      </c>
      <c r="B82" s="88">
        <v>4</v>
      </c>
      <c r="C82" s="88" t="s">
        <v>275</v>
      </c>
      <c r="D82" s="88" t="s">
        <v>188</v>
      </c>
      <c r="E82" s="88" t="s">
        <v>339</v>
      </c>
      <c r="F82" s="88" t="s">
        <v>157</v>
      </c>
      <c r="G82" s="88" t="s">
        <v>324</v>
      </c>
      <c r="H82" s="88">
        <v>0</v>
      </c>
      <c r="I82" s="88" t="s">
        <v>160</v>
      </c>
      <c r="J82" s="88" t="s">
        <v>337</v>
      </c>
      <c r="K82" s="89"/>
      <c r="L82" s="88"/>
    </row>
    <row r="83" spans="1:12">
      <c r="A83" s="88">
        <f t="shared" si="5"/>
        <v>172</v>
      </c>
      <c r="B83" s="88">
        <v>4</v>
      </c>
      <c r="C83" s="88" t="s">
        <v>275</v>
      </c>
      <c r="D83" s="88" t="s">
        <v>188</v>
      </c>
      <c r="E83" s="88" t="s">
        <v>340</v>
      </c>
      <c r="F83" s="88" t="s">
        <v>157</v>
      </c>
      <c r="G83" s="88" t="s">
        <v>324</v>
      </c>
      <c r="H83" s="88">
        <v>0</v>
      </c>
      <c r="I83" s="88" t="s">
        <v>160</v>
      </c>
      <c r="J83" s="88" t="s">
        <v>337</v>
      </c>
      <c r="K83" s="89"/>
      <c r="L83" s="88"/>
    </row>
    <row r="84" spans="1:12">
      <c r="A84" s="88">
        <f t="shared" si="5"/>
        <v>176</v>
      </c>
      <c r="B84" s="88">
        <v>4</v>
      </c>
      <c r="C84" s="88" t="s">
        <v>275</v>
      </c>
      <c r="D84" s="88" t="s">
        <v>188</v>
      </c>
      <c r="E84" s="88" t="s">
        <v>341</v>
      </c>
      <c r="F84" s="88" t="s">
        <v>157</v>
      </c>
      <c r="G84" s="88" t="s">
        <v>324</v>
      </c>
      <c r="H84" s="88">
        <v>0</v>
      </c>
      <c r="I84" s="88" t="s">
        <v>160</v>
      </c>
      <c r="J84" s="88" t="s">
        <v>337</v>
      </c>
      <c r="K84" s="89"/>
      <c r="L84" s="88"/>
    </row>
    <row r="85" spans="1:12">
      <c r="A85" s="127" t="s">
        <v>220</v>
      </c>
      <c r="B85" s="128"/>
      <c r="C85" s="128"/>
      <c r="D85" s="128"/>
      <c r="E85" s="128"/>
      <c r="F85" s="131" t="s">
        <v>342</v>
      </c>
      <c r="G85" s="128"/>
      <c r="H85" s="92">
        <f>A86</f>
        <v>180</v>
      </c>
      <c r="I85" s="93">
        <f>A91+B91-1</f>
        <v>191</v>
      </c>
      <c r="J85" s="94">
        <f>I85-H85+1</f>
        <v>12</v>
      </c>
      <c r="K85" s="129" t="s">
        <v>313</v>
      </c>
      <c r="L85" s="128"/>
    </row>
    <row r="86" spans="1:12">
      <c r="A86" s="113">
        <f>A84+B84</f>
        <v>180</v>
      </c>
      <c r="B86" s="113">
        <v>4</v>
      </c>
      <c r="C86" s="113" t="s">
        <v>275</v>
      </c>
      <c r="D86" s="113" t="s">
        <v>188</v>
      </c>
      <c r="E86" s="113" t="s">
        <v>343</v>
      </c>
      <c r="F86" s="113" t="s">
        <v>157</v>
      </c>
      <c r="G86" s="113" t="s">
        <v>324</v>
      </c>
      <c r="H86" s="113">
        <v>0</v>
      </c>
      <c r="I86" s="113" t="s">
        <v>160</v>
      </c>
      <c r="J86" s="113" t="s">
        <v>344</v>
      </c>
      <c r="K86" s="114"/>
      <c r="L86" s="115" t="s">
        <v>345</v>
      </c>
    </row>
    <row r="87" spans="1:12">
      <c r="A87" s="88">
        <f t="shared" ref="A87:A91" si="6">A86+B86</f>
        <v>184</v>
      </c>
      <c r="B87" s="88">
        <v>4</v>
      </c>
      <c r="C87" s="88" t="s">
        <v>275</v>
      </c>
      <c r="D87" s="88" t="s">
        <v>188</v>
      </c>
      <c r="E87" s="88" t="s">
        <v>346</v>
      </c>
      <c r="F87" s="88" t="s">
        <v>157</v>
      </c>
      <c r="G87" s="88" t="s">
        <v>324</v>
      </c>
      <c r="H87" s="88">
        <v>0</v>
      </c>
      <c r="I87" s="88" t="s">
        <v>160</v>
      </c>
      <c r="J87" s="88" t="s">
        <v>347</v>
      </c>
      <c r="K87" s="89"/>
      <c r="L87" s="90" t="s">
        <v>348</v>
      </c>
    </row>
    <row r="88" spans="1:12">
      <c r="A88" s="88">
        <f t="shared" si="6"/>
        <v>188</v>
      </c>
      <c r="B88" s="88">
        <v>1</v>
      </c>
      <c r="C88" s="88" t="s">
        <v>275</v>
      </c>
      <c r="D88" s="88" t="s">
        <v>188</v>
      </c>
      <c r="E88" s="88" t="s">
        <v>349</v>
      </c>
      <c r="F88" s="88" t="s">
        <v>157</v>
      </c>
      <c r="G88" s="88" t="s">
        <v>158</v>
      </c>
      <c r="H88" s="88">
        <v>0</v>
      </c>
      <c r="I88" s="88" t="s">
        <v>350</v>
      </c>
      <c r="J88" s="88"/>
      <c r="K88" s="109" t="s">
        <v>351</v>
      </c>
      <c r="L88" s="90" t="s">
        <v>352</v>
      </c>
    </row>
    <row r="89" spans="1:12">
      <c r="A89" s="88">
        <f t="shared" si="6"/>
        <v>189</v>
      </c>
      <c r="B89" s="88">
        <v>1</v>
      </c>
      <c r="C89" s="88" t="s">
        <v>275</v>
      </c>
      <c r="D89" s="88" t="s">
        <v>188</v>
      </c>
      <c r="E89" s="88" t="s">
        <v>353</v>
      </c>
      <c r="F89" s="88" t="s">
        <v>157</v>
      </c>
      <c r="G89" s="88" t="s">
        <v>158</v>
      </c>
      <c r="H89" s="88">
        <v>0</v>
      </c>
      <c r="I89" s="88" t="s">
        <v>159</v>
      </c>
      <c r="J89" s="88"/>
      <c r="K89" s="89" t="s">
        <v>354</v>
      </c>
      <c r="L89" s="88"/>
    </row>
    <row r="90" spans="1:12">
      <c r="A90" s="88">
        <f t="shared" si="6"/>
        <v>190</v>
      </c>
      <c r="B90" s="88">
        <v>1</v>
      </c>
      <c r="C90" s="88" t="s">
        <v>275</v>
      </c>
      <c r="D90" s="88" t="s">
        <v>188</v>
      </c>
      <c r="E90" s="88" t="s">
        <v>355</v>
      </c>
      <c r="F90" s="88" t="s">
        <v>157</v>
      </c>
      <c r="G90" s="88" t="s">
        <v>158</v>
      </c>
      <c r="H90" s="88">
        <v>0</v>
      </c>
      <c r="I90" s="88" t="s">
        <v>159</v>
      </c>
      <c r="J90" s="88"/>
      <c r="K90" s="89" t="s">
        <v>356</v>
      </c>
      <c r="L90" s="90" t="s">
        <v>357</v>
      </c>
    </row>
    <row r="91" spans="1:12">
      <c r="A91" s="88">
        <f t="shared" si="6"/>
        <v>191</v>
      </c>
      <c r="B91" s="88">
        <v>1</v>
      </c>
      <c r="C91" s="88" t="s">
        <v>275</v>
      </c>
      <c r="D91" s="88" t="s">
        <v>188</v>
      </c>
      <c r="E91" s="88" t="s">
        <v>180</v>
      </c>
      <c r="F91" s="88" t="s">
        <v>160</v>
      </c>
      <c r="G91" s="88" t="s">
        <v>160</v>
      </c>
      <c r="H91" s="88" t="s">
        <v>160</v>
      </c>
      <c r="I91" s="88" t="s">
        <v>160</v>
      </c>
      <c r="J91" s="88" t="s">
        <v>160</v>
      </c>
      <c r="K91" s="88" t="s">
        <v>160</v>
      </c>
      <c r="L91" s="88"/>
    </row>
    <row r="92" spans="1:12">
      <c r="A92" s="127" t="s">
        <v>152</v>
      </c>
      <c r="B92" s="128"/>
      <c r="C92" s="128"/>
      <c r="D92" s="128"/>
      <c r="E92" s="128"/>
      <c r="F92" s="128"/>
      <c r="G92" s="116" t="s">
        <v>182</v>
      </c>
      <c r="H92" s="92">
        <f>A93</f>
        <v>192</v>
      </c>
      <c r="I92" s="93">
        <f>A93+B93-1</f>
        <v>223</v>
      </c>
      <c r="J92" s="94">
        <f>I92-H92+1</f>
        <v>32</v>
      </c>
      <c r="K92" s="129" t="s">
        <v>183</v>
      </c>
      <c r="L92" s="128"/>
    </row>
    <row r="93" spans="1:12">
      <c r="A93" s="98">
        <f>A91+B91</f>
        <v>192</v>
      </c>
      <c r="B93" s="98">
        <v>32</v>
      </c>
      <c r="C93" s="98" t="s">
        <v>180</v>
      </c>
      <c r="D93" s="98"/>
      <c r="E93" s="98" t="s">
        <v>180</v>
      </c>
      <c r="F93" s="98" t="s">
        <v>160</v>
      </c>
      <c r="G93" s="98" t="s">
        <v>160</v>
      </c>
      <c r="H93" s="98" t="s">
        <v>160</v>
      </c>
      <c r="I93" s="98" t="s">
        <v>160</v>
      </c>
      <c r="J93" s="98" t="s">
        <v>160</v>
      </c>
      <c r="K93" s="99"/>
      <c r="L93" s="100" t="s">
        <v>184</v>
      </c>
    </row>
    <row r="94" spans="1:12">
      <c r="A94" s="127" t="s">
        <v>152</v>
      </c>
      <c r="B94" s="128"/>
      <c r="C94" s="128"/>
      <c r="D94" s="128"/>
      <c r="E94" s="128"/>
      <c r="F94" s="128"/>
      <c r="G94" s="116" t="s">
        <v>358</v>
      </c>
      <c r="H94" s="92">
        <f>A96</f>
        <v>228</v>
      </c>
      <c r="I94" s="93">
        <f>A96+B96-1</f>
        <v>255</v>
      </c>
      <c r="J94" s="94">
        <f>I94-H94+1</f>
        <v>28</v>
      </c>
      <c r="K94" s="129" t="s">
        <v>359</v>
      </c>
      <c r="L94" s="128"/>
    </row>
    <row r="95" spans="1:12">
      <c r="A95" s="117">
        <f>A93+B93</f>
        <v>224</v>
      </c>
      <c r="B95" s="117">
        <v>4</v>
      </c>
      <c r="C95" s="117" t="s">
        <v>187</v>
      </c>
      <c r="D95" s="117"/>
      <c r="E95" s="117" t="s">
        <v>360</v>
      </c>
      <c r="F95" s="117" t="s">
        <v>190</v>
      </c>
      <c r="G95" s="117" t="s">
        <v>217</v>
      </c>
      <c r="H95" s="117">
        <v>0</v>
      </c>
      <c r="I95" s="117" t="s">
        <v>160</v>
      </c>
      <c r="J95" s="117" t="s">
        <v>165</v>
      </c>
      <c r="K95" s="118" t="s">
        <v>361</v>
      </c>
      <c r="L95" s="119" t="s">
        <v>362</v>
      </c>
    </row>
    <row r="96" spans="1:12">
      <c r="A96" s="98">
        <f t="shared" ref="A96:A97" si="7">A95+B95</f>
        <v>228</v>
      </c>
      <c r="B96" s="98">
        <v>28</v>
      </c>
      <c r="C96" s="98" t="s">
        <v>187</v>
      </c>
      <c r="D96" s="98"/>
      <c r="E96" s="98" t="s">
        <v>363</v>
      </c>
      <c r="F96" s="98" t="s">
        <v>160</v>
      </c>
      <c r="G96" s="98" t="s">
        <v>160</v>
      </c>
      <c r="H96" s="98" t="s">
        <v>160</v>
      </c>
      <c r="I96" s="98" t="s">
        <v>160</v>
      </c>
      <c r="J96" s="98" t="s">
        <v>160</v>
      </c>
      <c r="K96" s="99"/>
      <c r="L96" s="100" t="s">
        <v>364</v>
      </c>
    </row>
    <row r="97" spans="1:12">
      <c r="A97" s="88">
        <f t="shared" si="7"/>
        <v>256</v>
      </c>
      <c r="B97" s="88"/>
      <c r="C97" s="88"/>
      <c r="D97" s="88"/>
      <c r="E97" s="88"/>
      <c r="F97" s="88"/>
      <c r="G97" s="88"/>
      <c r="H97" s="88"/>
      <c r="I97" s="88"/>
      <c r="J97" s="88"/>
      <c r="K97" s="89"/>
      <c r="L97" s="88"/>
    </row>
    <row r="98" spans="1:12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9"/>
      <c r="L98" s="88"/>
    </row>
    <row r="99" spans="1:12">
      <c r="A99" s="88"/>
      <c r="B99" s="88"/>
      <c r="C99" s="88"/>
      <c r="D99" s="88"/>
    </row>
    <row r="100" spans="1:12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9"/>
      <c r="L100" s="88"/>
    </row>
    <row r="101" spans="1:12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9"/>
      <c r="L101" s="88"/>
    </row>
    <row r="102" spans="1:1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9"/>
      <c r="L102" s="88"/>
    </row>
    <row r="103" spans="1:12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9"/>
      <c r="L103" s="88"/>
    </row>
    <row r="104" spans="1:12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9"/>
      <c r="L104" s="88"/>
    </row>
    <row r="105" spans="1:12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9"/>
      <c r="L105" s="88"/>
    </row>
    <row r="106" spans="1:12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9"/>
      <c r="L106" s="88"/>
    </row>
    <row r="107" spans="1:12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9"/>
      <c r="L107" s="88"/>
    </row>
    <row r="108" spans="1:12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9"/>
      <c r="L108" s="88"/>
    </row>
    <row r="109" spans="1:12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9"/>
      <c r="L109" s="88"/>
    </row>
    <row r="110" spans="1:12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9"/>
      <c r="L110" s="88"/>
    </row>
    <row r="111" spans="1:12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9"/>
      <c r="L111" s="88"/>
    </row>
    <row r="112" spans="1: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9"/>
      <c r="L112" s="88"/>
    </row>
    <row r="113" spans="1:12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9"/>
      <c r="L113" s="88"/>
    </row>
    <row r="114" spans="1:12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9"/>
      <c r="L114" s="88"/>
    </row>
    <row r="115" spans="1:12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9"/>
      <c r="L115" s="88"/>
    </row>
    <row r="116" spans="1:12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9"/>
      <c r="L116" s="88"/>
    </row>
    <row r="117" spans="1:12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9"/>
      <c r="L117" s="88"/>
    </row>
    <row r="118" spans="1:12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9"/>
      <c r="L118" s="88"/>
    </row>
    <row r="119" spans="1:12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9"/>
      <c r="L119" s="88"/>
    </row>
    <row r="120" spans="1:12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9"/>
      <c r="L120" s="88"/>
    </row>
    <row r="121" spans="1:12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9"/>
      <c r="L121" s="88"/>
    </row>
    <row r="122" spans="1:1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9"/>
      <c r="L122" s="88"/>
    </row>
    <row r="123" spans="1:12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9"/>
      <c r="L123" s="88"/>
    </row>
    <row r="124" spans="1:12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9"/>
      <c r="L124" s="88"/>
    </row>
    <row r="125" spans="1:12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9"/>
      <c r="L125" s="88"/>
    </row>
    <row r="126" spans="1:12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9"/>
      <c r="L126" s="88"/>
    </row>
    <row r="127" spans="1:12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9"/>
      <c r="L127" s="88"/>
    </row>
    <row r="128" spans="1:12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9"/>
      <c r="L128" s="88"/>
    </row>
    <row r="129" spans="1:12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9"/>
      <c r="L129" s="88"/>
    </row>
    <row r="130" spans="1:12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9"/>
      <c r="L130" s="88"/>
    </row>
    <row r="131" spans="1:12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9"/>
      <c r="L131" s="88"/>
    </row>
    <row r="132" spans="1:1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9"/>
      <c r="L132" s="88"/>
    </row>
    <row r="133" spans="1:12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9"/>
      <c r="L133" s="88"/>
    </row>
    <row r="134" spans="1:12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9"/>
      <c r="L134" s="88"/>
    </row>
    <row r="135" spans="1:12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9"/>
      <c r="L135" s="88"/>
    </row>
    <row r="136" spans="1:12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9"/>
      <c r="L136" s="88"/>
    </row>
    <row r="137" spans="1:12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9"/>
      <c r="L137" s="88"/>
    </row>
    <row r="138" spans="1:12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9"/>
      <c r="L138" s="88"/>
    </row>
    <row r="139" spans="1:12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9"/>
      <c r="L139" s="88"/>
    </row>
    <row r="140" spans="1:12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9"/>
      <c r="L140" s="88"/>
    </row>
    <row r="141" spans="1:12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9"/>
      <c r="L141" s="88"/>
    </row>
    <row r="142" spans="1:1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9"/>
      <c r="L142" s="88"/>
    </row>
    <row r="143" spans="1:12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9"/>
      <c r="L143" s="88"/>
    </row>
    <row r="144" spans="1:12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9"/>
      <c r="L144" s="88"/>
    </row>
    <row r="145" spans="1:12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9"/>
      <c r="L145" s="88"/>
    </row>
    <row r="146" spans="1:12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9"/>
      <c r="L146" s="88"/>
    </row>
    <row r="147" spans="1:12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9"/>
      <c r="L147" s="88"/>
    </row>
    <row r="148" spans="1:12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9"/>
      <c r="L148" s="88"/>
    </row>
    <row r="149" spans="1:12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9"/>
      <c r="L149" s="88"/>
    </row>
    <row r="150" spans="1:12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9"/>
      <c r="L150" s="88"/>
    </row>
    <row r="151" spans="1:12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9"/>
      <c r="L151" s="88"/>
    </row>
    <row r="152" spans="1:1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9"/>
      <c r="L152" s="88"/>
    </row>
    <row r="153" spans="1:12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9"/>
      <c r="L153" s="88"/>
    </row>
    <row r="154" spans="1:12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9"/>
      <c r="L154" s="88"/>
    </row>
    <row r="155" spans="1:12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9"/>
      <c r="L155" s="88"/>
    </row>
    <row r="156" spans="1:12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9"/>
      <c r="L156" s="88"/>
    </row>
    <row r="157" spans="1:12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9"/>
      <c r="L157" s="88"/>
    </row>
    <row r="158" spans="1:12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9"/>
      <c r="L158" s="88"/>
    </row>
    <row r="159" spans="1:12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9"/>
      <c r="L159" s="88"/>
    </row>
    <row r="160" spans="1:12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9"/>
      <c r="L160" s="88"/>
    </row>
    <row r="161" spans="1:12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9"/>
      <c r="L161" s="88"/>
    </row>
    <row r="162" spans="1:1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9"/>
      <c r="L162" s="88"/>
    </row>
    <row r="163" spans="1:12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9"/>
      <c r="L163" s="88"/>
    </row>
    <row r="164" spans="1:12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9"/>
      <c r="L164" s="88"/>
    </row>
    <row r="165" spans="1:12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9"/>
      <c r="L165" s="88"/>
    </row>
    <row r="166" spans="1:12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9"/>
      <c r="L166" s="88"/>
    </row>
    <row r="167" spans="1:12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9"/>
      <c r="L167" s="88"/>
    </row>
    <row r="168" spans="1:12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9"/>
      <c r="L168" s="88"/>
    </row>
    <row r="169" spans="1:12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9"/>
      <c r="L169" s="88"/>
    </row>
    <row r="170" spans="1:12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9"/>
      <c r="L170" s="88"/>
    </row>
    <row r="171" spans="1:12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9"/>
      <c r="L171" s="88"/>
    </row>
    <row r="172" spans="1:1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9"/>
      <c r="L172" s="88"/>
    </row>
    <row r="173" spans="1:12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9"/>
      <c r="L173" s="88"/>
    </row>
    <row r="174" spans="1:12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9"/>
      <c r="L174" s="88"/>
    </row>
    <row r="175" spans="1:12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9"/>
      <c r="L175" s="88"/>
    </row>
    <row r="176" spans="1:12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9"/>
      <c r="L176" s="88"/>
    </row>
    <row r="177" spans="1:12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9"/>
      <c r="L177" s="88"/>
    </row>
    <row r="178" spans="1:12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9"/>
      <c r="L178" s="88"/>
    </row>
    <row r="179" spans="1:12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9"/>
      <c r="L179" s="88"/>
    </row>
    <row r="180" spans="1:12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9"/>
      <c r="L180" s="88"/>
    </row>
    <row r="181" spans="1:12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9"/>
      <c r="L181" s="88"/>
    </row>
    <row r="182" spans="1:1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9"/>
      <c r="L182" s="88"/>
    </row>
    <row r="183" spans="1:12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9"/>
      <c r="L183" s="88"/>
    </row>
    <row r="184" spans="1:12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9"/>
      <c r="L184" s="88"/>
    </row>
    <row r="185" spans="1:12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9"/>
      <c r="L185" s="88"/>
    </row>
    <row r="186" spans="1:12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9"/>
      <c r="L186" s="88"/>
    </row>
    <row r="187" spans="1:12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9"/>
      <c r="L187" s="88"/>
    </row>
    <row r="188" spans="1:12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9"/>
      <c r="L188" s="88"/>
    </row>
    <row r="189" spans="1:12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9"/>
      <c r="L189" s="88"/>
    </row>
    <row r="190" spans="1:12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9"/>
      <c r="L190" s="88"/>
    </row>
    <row r="191" spans="1:12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9"/>
      <c r="L191" s="88"/>
    </row>
    <row r="192" spans="1:1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9"/>
      <c r="L192" s="88"/>
    </row>
    <row r="193" spans="1:12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9"/>
      <c r="L193" s="88"/>
    </row>
    <row r="194" spans="1:12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9"/>
      <c r="L194" s="88"/>
    </row>
    <row r="195" spans="1:12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9"/>
      <c r="L195" s="88"/>
    </row>
    <row r="196" spans="1:12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9"/>
      <c r="L196" s="88"/>
    </row>
    <row r="197" spans="1:12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9"/>
      <c r="L197" s="88"/>
    </row>
    <row r="198" spans="1:12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9"/>
      <c r="L198" s="88"/>
    </row>
    <row r="199" spans="1:12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9"/>
      <c r="L199" s="88"/>
    </row>
    <row r="200" spans="1:12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9"/>
      <c r="L200" s="88"/>
    </row>
    <row r="201" spans="1:12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9"/>
      <c r="L201" s="88"/>
    </row>
    <row r="202" spans="1:1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9"/>
      <c r="L202" s="88"/>
    </row>
    <row r="203" spans="1:12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9"/>
      <c r="L203" s="88"/>
    </row>
    <row r="204" spans="1:12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9"/>
      <c r="L204" s="88"/>
    </row>
    <row r="205" spans="1:12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9"/>
      <c r="L205" s="88"/>
    </row>
    <row r="206" spans="1:12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9"/>
      <c r="L206" s="88"/>
    </row>
    <row r="207" spans="1:12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9"/>
      <c r="L207" s="88"/>
    </row>
    <row r="208" spans="1:12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9"/>
      <c r="L208" s="88"/>
    </row>
    <row r="209" spans="1:12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9"/>
      <c r="L209" s="88"/>
    </row>
    <row r="210" spans="1:12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9"/>
      <c r="L210" s="88"/>
    </row>
    <row r="211" spans="1:12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9"/>
      <c r="L211" s="88"/>
    </row>
    <row r="212" spans="1: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9"/>
      <c r="L212" s="88"/>
    </row>
    <row r="213" spans="1:12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9"/>
      <c r="L213" s="88"/>
    </row>
    <row r="214" spans="1:12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9"/>
      <c r="L214" s="88"/>
    </row>
    <row r="215" spans="1:12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9"/>
      <c r="L215" s="88"/>
    </row>
    <row r="216" spans="1:12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9"/>
      <c r="L216" s="88"/>
    </row>
    <row r="217" spans="1:12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9"/>
      <c r="L217" s="88"/>
    </row>
    <row r="218" spans="1:12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9"/>
      <c r="L218" s="88"/>
    </row>
    <row r="219" spans="1:12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9"/>
      <c r="L219" s="88"/>
    </row>
    <row r="220" spans="1:12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9"/>
      <c r="L220" s="88"/>
    </row>
    <row r="221" spans="1:12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9"/>
      <c r="L221" s="88"/>
    </row>
    <row r="222" spans="1:1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9"/>
      <c r="L222" s="88"/>
    </row>
    <row r="223" spans="1:12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9"/>
      <c r="L223" s="88"/>
    </row>
    <row r="224" spans="1:12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9"/>
      <c r="L224" s="88"/>
    </row>
    <row r="225" spans="1:12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9"/>
      <c r="L225" s="88"/>
    </row>
    <row r="226" spans="1:12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9"/>
      <c r="L226" s="88"/>
    </row>
    <row r="227" spans="1:12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9"/>
      <c r="L227" s="88"/>
    </row>
    <row r="228" spans="1:12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9"/>
      <c r="L228" s="88"/>
    </row>
    <row r="229" spans="1:12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9"/>
      <c r="L229" s="88"/>
    </row>
    <row r="230" spans="1:12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9"/>
      <c r="L230" s="88"/>
    </row>
    <row r="231" spans="1:12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9"/>
      <c r="L231" s="88"/>
    </row>
    <row r="232" spans="1:1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9"/>
      <c r="L232" s="88"/>
    </row>
    <row r="233" spans="1:12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9"/>
      <c r="L233" s="88"/>
    </row>
    <row r="234" spans="1:12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9"/>
      <c r="L234" s="88"/>
    </row>
    <row r="235" spans="1:12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9"/>
      <c r="L235" s="88"/>
    </row>
    <row r="236" spans="1:12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9"/>
      <c r="L236" s="88"/>
    </row>
    <row r="237" spans="1:12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9"/>
      <c r="L237" s="88"/>
    </row>
    <row r="238" spans="1:12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9"/>
      <c r="L238" s="88"/>
    </row>
    <row r="239" spans="1:12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9"/>
      <c r="L239" s="88"/>
    </row>
    <row r="240" spans="1:12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9"/>
      <c r="L240" s="88"/>
    </row>
    <row r="241" spans="1:12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9"/>
      <c r="L241" s="88"/>
    </row>
    <row r="242" spans="1:1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9"/>
      <c r="L242" s="88"/>
    </row>
    <row r="243" spans="1:12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9"/>
      <c r="L243" s="88"/>
    </row>
    <row r="244" spans="1:12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9"/>
      <c r="L244" s="88"/>
    </row>
    <row r="245" spans="1:12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9"/>
      <c r="L245" s="88"/>
    </row>
    <row r="246" spans="1:12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9"/>
      <c r="L246" s="88"/>
    </row>
    <row r="247" spans="1:12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9"/>
      <c r="L247" s="88"/>
    </row>
    <row r="248" spans="1:12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9"/>
      <c r="L248" s="88"/>
    </row>
    <row r="249" spans="1:12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9"/>
      <c r="L249" s="88"/>
    </row>
    <row r="250" spans="1:12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9"/>
      <c r="L250" s="88"/>
    </row>
    <row r="251" spans="1:12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9"/>
      <c r="L251" s="88"/>
    </row>
    <row r="252" spans="1:1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9"/>
      <c r="L252" s="88"/>
    </row>
    <row r="253" spans="1:12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9"/>
      <c r="L253" s="88"/>
    </row>
    <row r="254" spans="1:12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9"/>
      <c r="L254" s="88"/>
    </row>
    <row r="255" spans="1:12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9"/>
      <c r="L255" s="88"/>
    </row>
    <row r="256" spans="1:12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9"/>
      <c r="L256" s="88"/>
    </row>
    <row r="257" spans="1:12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9"/>
      <c r="L257" s="88"/>
    </row>
    <row r="258" spans="1:12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9"/>
      <c r="L258" s="88"/>
    </row>
    <row r="259" spans="1:12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9"/>
      <c r="L259" s="88"/>
    </row>
    <row r="260" spans="1:12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9"/>
      <c r="L260" s="88"/>
    </row>
    <row r="261" spans="1:12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9"/>
      <c r="L261" s="88"/>
    </row>
    <row r="262" spans="1:1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9"/>
      <c r="L262" s="88"/>
    </row>
    <row r="263" spans="1:12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9"/>
      <c r="L263" s="88"/>
    </row>
    <row r="264" spans="1:12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9"/>
      <c r="L264" s="88"/>
    </row>
    <row r="265" spans="1:12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9"/>
      <c r="L265" s="88"/>
    </row>
    <row r="266" spans="1:12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9"/>
      <c r="L266" s="88"/>
    </row>
    <row r="267" spans="1:12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9"/>
      <c r="L267" s="88"/>
    </row>
    <row r="268" spans="1:12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9"/>
      <c r="L268" s="88"/>
    </row>
    <row r="269" spans="1:12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9"/>
      <c r="L269" s="88"/>
    </row>
    <row r="270" spans="1:12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9"/>
      <c r="L270" s="88"/>
    </row>
    <row r="271" spans="1:12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9"/>
      <c r="L271" s="88"/>
    </row>
    <row r="272" spans="1:1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9"/>
      <c r="L272" s="88"/>
    </row>
    <row r="273" spans="1:12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9"/>
      <c r="L273" s="88"/>
    </row>
    <row r="274" spans="1:12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9"/>
      <c r="L274" s="88"/>
    </row>
    <row r="275" spans="1:12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9"/>
      <c r="L275" s="88"/>
    </row>
    <row r="276" spans="1:12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9"/>
      <c r="L276" s="88"/>
    </row>
    <row r="277" spans="1:12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9"/>
      <c r="L277" s="88"/>
    </row>
    <row r="278" spans="1:12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9"/>
      <c r="L278" s="88"/>
    </row>
    <row r="279" spans="1:12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9"/>
      <c r="L279" s="88"/>
    </row>
    <row r="280" spans="1:12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9"/>
      <c r="L280" s="88"/>
    </row>
    <row r="281" spans="1:12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9"/>
      <c r="L281" s="88"/>
    </row>
    <row r="282" spans="1:1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9"/>
      <c r="L282" s="88"/>
    </row>
    <row r="283" spans="1:12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9"/>
      <c r="L283" s="88"/>
    </row>
    <row r="284" spans="1:12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9"/>
      <c r="L284" s="88"/>
    </row>
    <row r="285" spans="1:12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9"/>
      <c r="L285" s="88"/>
    </row>
    <row r="286" spans="1:12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9"/>
      <c r="L286" s="88"/>
    </row>
    <row r="287" spans="1:12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9"/>
      <c r="L287" s="88"/>
    </row>
    <row r="288" spans="1:12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9"/>
      <c r="L288" s="88"/>
    </row>
    <row r="289" spans="1:12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9"/>
      <c r="L289" s="88"/>
    </row>
    <row r="290" spans="1:12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9"/>
      <c r="L290" s="88"/>
    </row>
    <row r="291" spans="1:12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9"/>
      <c r="L291" s="88"/>
    </row>
    <row r="292" spans="1:1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9"/>
      <c r="L292" s="88"/>
    </row>
    <row r="293" spans="1:12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9"/>
      <c r="L293" s="88"/>
    </row>
    <row r="294" spans="1:12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9"/>
      <c r="L294" s="88"/>
    </row>
    <row r="295" spans="1:12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9"/>
      <c r="L295" s="88"/>
    </row>
    <row r="296" spans="1:12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9"/>
      <c r="L296" s="88"/>
    </row>
    <row r="297" spans="1:12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9"/>
      <c r="L297" s="88"/>
    </row>
    <row r="298" spans="1:12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9"/>
      <c r="L298" s="88"/>
    </row>
    <row r="299" spans="1:12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9"/>
      <c r="L299" s="88"/>
    </row>
    <row r="300" spans="1:12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9"/>
      <c r="L300" s="88"/>
    </row>
    <row r="301" spans="1:12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9"/>
      <c r="L301" s="88"/>
    </row>
    <row r="302" spans="1:1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9"/>
      <c r="L302" s="88"/>
    </row>
    <row r="303" spans="1:12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9"/>
      <c r="L303" s="88"/>
    </row>
    <row r="304" spans="1:12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9"/>
      <c r="L304" s="88"/>
    </row>
    <row r="305" spans="1:12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9"/>
      <c r="L305" s="88"/>
    </row>
    <row r="306" spans="1:12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9"/>
      <c r="L306" s="88"/>
    </row>
    <row r="307" spans="1:12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9"/>
      <c r="L307" s="88"/>
    </row>
    <row r="308" spans="1:12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9"/>
      <c r="L308" s="88"/>
    </row>
    <row r="309" spans="1:12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9"/>
      <c r="L309" s="88"/>
    </row>
    <row r="310" spans="1:12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9"/>
      <c r="L310" s="88"/>
    </row>
    <row r="311" spans="1:12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9"/>
      <c r="L311" s="88"/>
    </row>
    <row r="312" spans="1: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9"/>
      <c r="L312" s="88"/>
    </row>
    <row r="313" spans="1:12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9"/>
      <c r="L313" s="88"/>
    </row>
    <row r="314" spans="1:12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9"/>
      <c r="L314" s="88"/>
    </row>
    <row r="315" spans="1:12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9"/>
      <c r="L315" s="88"/>
    </row>
    <row r="316" spans="1:12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9"/>
      <c r="L316" s="88"/>
    </row>
    <row r="317" spans="1:12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9"/>
      <c r="L317" s="88"/>
    </row>
    <row r="318" spans="1:12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9"/>
      <c r="L318" s="88"/>
    </row>
    <row r="319" spans="1:12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9"/>
      <c r="L319" s="88"/>
    </row>
    <row r="320" spans="1:12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9"/>
      <c r="L320" s="88"/>
    </row>
    <row r="321" spans="1:12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9"/>
      <c r="L321" s="88"/>
    </row>
    <row r="322" spans="1:1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9"/>
      <c r="L322" s="88"/>
    </row>
    <row r="323" spans="1:12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9"/>
      <c r="L323" s="88"/>
    </row>
    <row r="324" spans="1:12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9"/>
      <c r="L324" s="88"/>
    </row>
    <row r="325" spans="1:12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9"/>
      <c r="L325" s="88"/>
    </row>
    <row r="326" spans="1:12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9"/>
      <c r="L326" s="88"/>
    </row>
    <row r="327" spans="1:12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9"/>
      <c r="L327" s="88"/>
    </row>
    <row r="328" spans="1:12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9"/>
      <c r="L328" s="88"/>
    </row>
    <row r="329" spans="1:12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9"/>
      <c r="L329" s="88"/>
    </row>
    <row r="330" spans="1:12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9"/>
      <c r="L330" s="88"/>
    </row>
    <row r="331" spans="1:12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9"/>
      <c r="L331" s="88"/>
    </row>
    <row r="332" spans="1:1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9"/>
      <c r="L332" s="88"/>
    </row>
    <row r="333" spans="1:12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9"/>
      <c r="L333" s="88"/>
    </row>
    <row r="334" spans="1:12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9"/>
      <c r="L334" s="88"/>
    </row>
    <row r="335" spans="1:12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9"/>
      <c r="L335" s="88"/>
    </row>
    <row r="336" spans="1:12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9"/>
      <c r="L336" s="88"/>
    </row>
    <row r="337" spans="1:12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9"/>
      <c r="L337" s="88"/>
    </row>
    <row r="338" spans="1:12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9"/>
      <c r="L338" s="88"/>
    </row>
    <row r="339" spans="1:12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9"/>
      <c r="L339" s="88"/>
    </row>
    <row r="340" spans="1:12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9"/>
      <c r="L340" s="88"/>
    </row>
    <row r="341" spans="1:12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9"/>
      <c r="L341" s="88"/>
    </row>
    <row r="342" spans="1:1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9"/>
      <c r="L342" s="88"/>
    </row>
    <row r="343" spans="1:12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9"/>
      <c r="L343" s="88"/>
    </row>
    <row r="344" spans="1:12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9"/>
      <c r="L344" s="88"/>
    </row>
    <row r="345" spans="1:12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9"/>
      <c r="L345" s="88"/>
    </row>
    <row r="346" spans="1:12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9"/>
      <c r="L346" s="88"/>
    </row>
    <row r="347" spans="1:12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9"/>
      <c r="L347" s="88"/>
    </row>
    <row r="348" spans="1:12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9"/>
      <c r="L348" s="88"/>
    </row>
    <row r="349" spans="1:12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9"/>
      <c r="L349" s="88"/>
    </row>
    <row r="350" spans="1:12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9"/>
      <c r="L350" s="88"/>
    </row>
    <row r="351" spans="1:12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9"/>
      <c r="L351" s="88"/>
    </row>
    <row r="352" spans="1:1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9"/>
      <c r="L352" s="88"/>
    </row>
    <row r="353" spans="1:12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9"/>
      <c r="L353" s="88"/>
    </row>
    <row r="354" spans="1:12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9"/>
      <c r="L354" s="88"/>
    </row>
    <row r="355" spans="1:12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9"/>
      <c r="L355" s="88"/>
    </row>
    <row r="356" spans="1:12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9"/>
      <c r="L356" s="88"/>
    </row>
    <row r="357" spans="1:12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9"/>
      <c r="L357" s="88"/>
    </row>
    <row r="358" spans="1:12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9"/>
      <c r="L358" s="88"/>
    </row>
    <row r="359" spans="1:12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9"/>
      <c r="L359" s="88"/>
    </row>
    <row r="360" spans="1:12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9"/>
      <c r="L360" s="88"/>
    </row>
    <row r="361" spans="1:12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9"/>
      <c r="L361" s="88"/>
    </row>
    <row r="362" spans="1:1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9"/>
      <c r="L362" s="88"/>
    </row>
    <row r="363" spans="1:12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9"/>
      <c r="L363" s="88"/>
    </row>
    <row r="364" spans="1:12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9"/>
      <c r="L364" s="88"/>
    </row>
    <row r="365" spans="1:12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9"/>
      <c r="L365" s="88"/>
    </row>
    <row r="366" spans="1:12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9"/>
      <c r="L366" s="88"/>
    </row>
    <row r="367" spans="1:12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9"/>
      <c r="L367" s="88"/>
    </row>
    <row r="368" spans="1:12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9"/>
      <c r="L368" s="88"/>
    </row>
    <row r="369" spans="1:12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9"/>
      <c r="L369" s="88"/>
    </row>
    <row r="370" spans="1:12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9"/>
      <c r="L370" s="88"/>
    </row>
    <row r="371" spans="1:12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9"/>
      <c r="L371" s="88"/>
    </row>
    <row r="372" spans="1:1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9"/>
      <c r="L372" s="88"/>
    </row>
    <row r="373" spans="1:12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9"/>
      <c r="L373" s="88"/>
    </row>
    <row r="374" spans="1:12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9"/>
      <c r="L374" s="88"/>
    </row>
    <row r="375" spans="1:12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9"/>
      <c r="L375" s="88"/>
    </row>
    <row r="376" spans="1:12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9"/>
      <c r="L376" s="88"/>
    </row>
    <row r="377" spans="1:12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9"/>
      <c r="L377" s="88"/>
    </row>
    <row r="378" spans="1:12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9"/>
      <c r="L378" s="88"/>
    </row>
    <row r="379" spans="1:12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9"/>
      <c r="L379" s="88"/>
    </row>
    <row r="380" spans="1:12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9"/>
      <c r="L380" s="88"/>
    </row>
    <row r="381" spans="1:12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9"/>
      <c r="L381" s="88"/>
    </row>
    <row r="382" spans="1:1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9"/>
      <c r="L382" s="88"/>
    </row>
    <row r="383" spans="1:12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9"/>
      <c r="L383" s="88"/>
    </row>
    <row r="384" spans="1:12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9"/>
      <c r="L384" s="88"/>
    </row>
    <row r="385" spans="1:12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9"/>
      <c r="L385" s="88"/>
    </row>
    <row r="386" spans="1:12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9"/>
      <c r="L386" s="88"/>
    </row>
    <row r="387" spans="1:12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9"/>
      <c r="L387" s="88"/>
    </row>
    <row r="388" spans="1:12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9"/>
      <c r="L388" s="88"/>
    </row>
    <row r="389" spans="1:12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9"/>
      <c r="L389" s="88"/>
    </row>
    <row r="390" spans="1:12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9"/>
      <c r="L390" s="88"/>
    </row>
    <row r="391" spans="1:12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9"/>
      <c r="L391" s="88"/>
    </row>
    <row r="392" spans="1:1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9"/>
      <c r="L392" s="88"/>
    </row>
    <row r="393" spans="1:12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9"/>
      <c r="L393" s="88"/>
    </row>
    <row r="394" spans="1:12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9"/>
      <c r="L394" s="88"/>
    </row>
    <row r="395" spans="1:12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9"/>
      <c r="L395" s="88"/>
    </row>
    <row r="396" spans="1:12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9"/>
      <c r="L396" s="88"/>
    </row>
    <row r="397" spans="1:12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9"/>
      <c r="L397" s="88"/>
    </row>
    <row r="398" spans="1:12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9"/>
      <c r="L398" s="88"/>
    </row>
    <row r="399" spans="1:12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9"/>
      <c r="L399" s="88"/>
    </row>
    <row r="400" spans="1:12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9"/>
      <c r="L400" s="88"/>
    </row>
    <row r="401" spans="1:12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9"/>
      <c r="L401" s="88"/>
    </row>
    <row r="402" spans="1:1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9"/>
      <c r="L402" s="88"/>
    </row>
    <row r="403" spans="1:12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9"/>
      <c r="L403" s="88"/>
    </row>
    <row r="404" spans="1:12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9"/>
      <c r="L404" s="88"/>
    </row>
    <row r="405" spans="1:12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9"/>
      <c r="L405" s="88"/>
    </row>
    <row r="406" spans="1:12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9"/>
      <c r="L406" s="88"/>
    </row>
    <row r="407" spans="1:12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9"/>
      <c r="L407" s="88"/>
    </row>
    <row r="408" spans="1:12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9"/>
      <c r="L408" s="88"/>
    </row>
    <row r="409" spans="1:12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9"/>
      <c r="L409" s="88"/>
    </row>
    <row r="410" spans="1:12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9"/>
      <c r="L410" s="88"/>
    </row>
    <row r="411" spans="1:12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9"/>
      <c r="L411" s="88"/>
    </row>
    <row r="412" spans="1: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9"/>
      <c r="L412" s="88"/>
    </row>
    <row r="413" spans="1:12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9"/>
      <c r="L413" s="88"/>
    </row>
    <row r="414" spans="1:12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9"/>
      <c r="L414" s="88"/>
    </row>
    <row r="415" spans="1:12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9"/>
      <c r="L415" s="88"/>
    </row>
    <row r="416" spans="1:12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9"/>
      <c r="L416" s="88"/>
    </row>
    <row r="417" spans="1:12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9"/>
      <c r="L417" s="88"/>
    </row>
    <row r="418" spans="1:12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9"/>
      <c r="L418" s="88"/>
    </row>
    <row r="419" spans="1:12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9"/>
      <c r="L419" s="88"/>
    </row>
    <row r="420" spans="1:12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9"/>
      <c r="L420" s="88"/>
    </row>
    <row r="421" spans="1:12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9"/>
      <c r="L421" s="88"/>
    </row>
    <row r="422" spans="1:1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9"/>
      <c r="L422" s="88"/>
    </row>
    <row r="423" spans="1:12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9"/>
      <c r="L423" s="88"/>
    </row>
    <row r="424" spans="1:12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9"/>
      <c r="L424" s="88"/>
    </row>
    <row r="425" spans="1:12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9"/>
      <c r="L425" s="88"/>
    </row>
    <row r="426" spans="1:12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9"/>
      <c r="L426" s="88"/>
    </row>
    <row r="427" spans="1:12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9"/>
      <c r="L427" s="88"/>
    </row>
    <row r="428" spans="1:12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9"/>
      <c r="L428" s="88"/>
    </row>
    <row r="429" spans="1:12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9"/>
      <c r="L429" s="88"/>
    </row>
    <row r="430" spans="1:12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9"/>
      <c r="L430" s="88"/>
    </row>
    <row r="431" spans="1:12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9"/>
      <c r="L431" s="88"/>
    </row>
    <row r="432" spans="1:1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9"/>
      <c r="L432" s="88"/>
    </row>
    <row r="433" spans="1:12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9"/>
      <c r="L433" s="88"/>
    </row>
    <row r="434" spans="1:12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9"/>
      <c r="L434" s="88"/>
    </row>
    <row r="435" spans="1:12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9"/>
      <c r="L435" s="88"/>
    </row>
    <row r="436" spans="1:12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9"/>
      <c r="L436" s="88"/>
    </row>
    <row r="437" spans="1:12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9"/>
      <c r="L437" s="88"/>
    </row>
    <row r="438" spans="1:12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9"/>
      <c r="L438" s="88"/>
    </row>
    <row r="439" spans="1:12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9"/>
      <c r="L439" s="88"/>
    </row>
    <row r="440" spans="1:12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9"/>
      <c r="L440" s="88"/>
    </row>
    <row r="441" spans="1:12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9"/>
      <c r="L441" s="88"/>
    </row>
    <row r="442" spans="1:1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9"/>
      <c r="L442" s="88"/>
    </row>
    <row r="443" spans="1:12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9"/>
      <c r="L443" s="88"/>
    </row>
    <row r="444" spans="1:12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9"/>
      <c r="L444" s="88"/>
    </row>
    <row r="445" spans="1:12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9"/>
      <c r="L445" s="88"/>
    </row>
    <row r="446" spans="1:12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9"/>
      <c r="L446" s="88"/>
    </row>
    <row r="447" spans="1:12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9"/>
      <c r="L447" s="88"/>
    </row>
    <row r="448" spans="1:12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9"/>
      <c r="L448" s="88"/>
    </row>
    <row r="449" spans="1:12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9"/>
      <c r="L449" s="88"/>
    </row>
    <row r="450" spans="1:12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9"/>
      <c r="L450" s="88"/>
    </row>
    <row r="451" spans="1:12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9"/>
      <c r="L451" s="88"/>
    </row>
    <row r="452" spans="1:1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9"/>
      <c r="L452" s="88"/>
    </row>
    <row r="453" spans="1:12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9"/>
      <c r="L453" s="88"/>
    </row>
    <row r="454" spans="1:12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9"/>
      <c r="L454" s="88"/>
    </row>
    <row r="455" spans="1:12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9"/>
      <c r="L455" s="88"/>
    </row>
    <row r="456" spans="1:12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9"/>
      <c r="L456" s="88"/>
    </row>
    <row r="457" spans="1:12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9"/>
      <c r="L457" s="88"/>
    </row>
    <row r="458" spans="1:12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9"/>
      <c r="L458" s="88"/>
    </row>
    <row r="459" spans="1:12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9"/>
      <c r="L459" s="88"/>
    </row>
    <row r="460" spans="1:12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9"/>
      <c r="L460" s="88"/>
    </row>
    <row r="461" spans="1:12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9"/>
      <c r="L461" s="88"/>
    </row>
    <row r="462" spans="1:1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9"/>
      <c r="L462" s="88"/>
    </row>
    <row r="463" spans="1:12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9"/>
      <c r="L463" s="88"/>
    </row>
    <row r="464" spans="1:12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9"/>
      <c r="L464" s="88"/>
    </row>
    <row r="465" spans="1:12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9"/>
      <c r="L465" s="88"/>
    </row>
    <row r="466" spans="1:12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9"/>
      <c r="L466" s="88"/>
    </row>
    <row r="467" spans="1:12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9"/>
      <c r="L467" s="88"/>
    </row>
    <row r="468" spans="1:12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9"/>
      <c r="L468" s="88"/>
    </row>
    <row r="469" spans="1:12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9"/>
      <c r="L469" s="88"/>
    </row>
    <row r="470" spans="1:12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9"/>
      <c r="L470" s="88"/>
    </row>
    <row r="471" spans="1:12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9"/>
      <c r="L471" s="88"/>
    </row>
    <row r="472" spans="1:1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9"/>
      <c r="L472" s="88"/>
    </row>
    <row r="473" spans="1:12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9"/>
      <c r="L473" s="88"/>
    </row>
    <row r="474" spans="1:12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9"/>
      <c r="L474" s="88"/>
    </row>
    <row r="475" spans="1:12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9"/>
      <c r="L475" s="88"/>
    </row>
    <row r="476" spans="1:12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9"/>
      <c r="L476" s="88"/>
    </row>
    <row r="477" spans="1:12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9"/>
      <c r="L477" s="88"/>
    </row>
    <row r="478" spans="1:12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9"/>
      <c r="L478" s="88"/>
    </row>
    <row r="479" spans="1:12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9"/>
      <c r="L479" s="88"/>
    </row>
    <row r="480" spans="1:12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9"/>
      <c r="L480" s="88"/>
    </row>
    <row r="481" spans="1:12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9"/>
      <c r="L481" s="88"/>
    </row>
    <row r="482" spans="1:1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9"/>
      <c r="L482" s="88"/>
    </row>
    <row r="483" spans="1:12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9"/>
      <c r="L483" s="88"/>
    </row>
    <row r="484" spans="1:12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9"/>
      <c r="L484" s="88"/>
    </row>
    <row r="485" spans="1:12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9"/>
      <c r="L485" s="88"/>
    </row>
    <row r="486" spans="1:12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9"/>
      <c r="L486" s="88"/>
    </row>
    <row r="487" spans="1:12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9"/>
      <c r="L487" s="88"/>
    </row>
    <row r="488" spans="1:12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9"/>
      <c r="L488" s="88"/>
    </row>
    <row r="489" spans="1:12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9"/>
      <c r="L489" s="88"/>
    </row>
    <row r="490" spans="1:12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9"/>
      <c r="L490" s="88"/>
    </row>
    <row r="491" spans="1:12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9"/>
      <c r="L491" s="88"/>
    </row>
    <row r="492" spans="1:1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9"/>
      <c r="L492" s="88"/>
    </row>
    <row r="493" spans="1:12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9"/>
      <c r="L493" s="88"/>
    </row>
    <row r="494" spans="1:12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9"/>
      <c r="L494" s="88"/>
    </row>
    <row r="495" spans="1:12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9"/>
      <c r="L495" s="88"/>
    </row>
    <row r="496" spans="1:12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9"/>
      <c r="L496" s="88"/>
    </row>
    <row r="497" spans="1:12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9"/>
      <c r="L497" s="88"/>
    </row>
    <row r="498" spans="1:12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9"/>
      <c r="L498" s="88"/>
    </row>
    <row r="499" spans="1:12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9"/>
      <c r="L499" s="88"/>
    </row>
    <row r="500" spans="1:12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9"/>
      <c r="L500" s="88"/>
    </row>
    <row r="501" spans="1:12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9"/>
      <c r="L501" s="88"/>
    </row>
    <row r="502" spans="1:1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9"/>
      <c r="L502" s="88"/>
    </row>
    <row r="503" spans="1:12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9"/>
      <c r="L503" s="88"/>
    </row>
    <row r="504" spans="1:12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9"/>
      <c r="L504" s="88"/>
    </row>
    <row r="505" spans="1:12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9"/>
      <c r="L505" s="88"/>
    </row>
    <row r="506" spans="1:12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9"/>
      <c r="L506" s="88"/>
    </row>
    <row r="507" spans="1:12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9"/>
      <c r="L507" s="88"/>
    </row>
    <row r="508" spans="1:12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9"/>
      <c r="L508" s="88"/>
    </row>
    <row r="509" spans="1:12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9"/>
      <c r="L509" s="88"/>
    </row>
    <row r="510" spans="1:12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9"/>
      <c r="L510" s="88"/>
    </row>
    <row r="511" spans="1:12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9"/>
      <c r="L511" s="88"/>
    </row>
    <row r="512" spans="1: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9"/>
      <c r="L512" s="88"/>
    </row>
    <row r="513" spans="1:12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9"/>
      <c r="L513" s="88"/>
    </row>
    <row r="514" spans="1:12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9"/>
      <c r="L514" s="88"/>
    </row>
    <row r="515" spans="1:12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9"/>
      <c r="L515" s="88"/>
    </row>
    <row r="516" spans="1:12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9"/>
      <c r="L516" s="88"/>
    </row>
    <row r="517" spans="1:12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9"/>
      <c r="L517" s="88"/>
    </row>
    <row r="518" spans="1:12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9"/>
      <c r="L518" s="88"/>
    </row>
    <row r="519" spans="1:12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9"/>
      <c r="L519" s="88"/>
    </row>
    <row r="520" spans="1:12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9"/>
      <c r="L520" s="88"/>
    </row>
    <row r="521" spans="1:12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9"/>
      <c r="L521" s="88"/>
    </row>
    <row r="522" spans="1:1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9"/>
      <c r="L522" s="88"/>
    </row>
    <row r="523" spans="1:12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9"/>
      <c r="L523" s="88"/>
    </row>
    <row r="524" spans="1:12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9"/>
      <c r="L524" s="88"/>
    </row>
    <row r="525" spans="1:12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9"/>
      <c r="L525" s="88"/>
    </row>
    <row r="526" spans="1:12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9"/>
      <c r="L526" s="88"/>
    </row>
    <row r="527" spans="1:12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9"/>
      <c r="L527" s="88"/>
    </row>
    <row r="528" spans="1:12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9"/>
      <c r="L528" s="88"/>
    </row>
    <row r="529" spans="1:12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9"/>
      <c r="L529" s="88"/>
    </row>
    <row r="530" spans="1:12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9"/>
      <c r="L530" s="88"/>
    </row>
    <row r="531" spans="1:12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9"/>
      <c r="L531" s="88"/>
    </row>
    <row r="532" spans="1:1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9"/>
      <c r="L532" s="88"/>
    </row>
    <row r="533" spans="1:12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9"/>
      <c r="L533" s="88"/>
    </row>
    <row r="534" spans="1:12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9"/>
      <c r="L534" s="88"/>
    </row>
    <row r="535" spans="1:12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9"/>
      <c r="L535" s="88"/>
    </row>
    <row r="536" spans="1:12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9"/>
      <c r="L536" s="88"/>
    </row>
    <row r="537" spans="1:12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9"/>
      <c r="L537" s="88"/>
    </row>
    <row r="538" spans="1:12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9"/>
      <c r="L538" s="88"/>
    </row>
    <row r="539" spans="1:12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9"/>
      <c r="L539" s="88"/>
    </row>
    <row r="540" spans="1:12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9"/>
      <c r="L540" s="88"/>
    </row>
    <row r="541" spans="1:12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9"/>
      <c r="L541" s="88"/>
    </row>
    <row r="542" spans="1:1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9"/>
      <c r="L542" s="88"/>
    </row>
    <row r="543" spans="1:12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9"/>
      <c r="L543" s="88"/>
    </row>
    <row r="544" spans="1:12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9"/>
      <c r="L544" s="88"/>
    </row>
    <row r="545" spans="1:12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9"/>
      <c r="L545" s="88"/>
    </row>
    <row r="546" spans="1:12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9"/>
      <c r="L546" s="88"/>
    </row>
    <row r="547" spans="1:12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9"/>
      <c r="L547" s="88"/>
    </row>
    <row r="548" spans="1:12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9"/>
      <c r="L548" s="88"/>
    </row>
    <row r="549" spans="1:12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9"/>
      <c r="L549" s="88"/>
    </row>
    <row r="550" spans="1:12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9"/>
      <c r="L550" s="88"/>
    </row>
    <row r="551" spans="1:12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9"/>
      <c r="L551" s="88"/>
    </row>
    <row r="552" spans="1:1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9"/>
      <c r="L552" s="88"/>
    </row>
    <row r="553" spans="1:12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9"/>
      <c r="L553" s="88"/>
    </row>
    <row r="554" spans="1:12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9"/>
      <c r="L554" s="88"/>
    </row>
    <row r="555" spans="1:12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9"/>
      <c r="L555" s="88"/>
    </row>
    <row r="556" spans="1:12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9"/>
      <c r="L556" s="88"/>
    </row>
    <row r="557" spans="1:12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9"/>
      <c r="L557" s="88"/>
    </row>
    <row r="558" spans="1:12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9"/>
      <c r="L558" s="88"/>
    </row>
    <row r="559" spans="1:12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9"/>
      <c r="L559" s="88"/>
    </row>
    <row r="560" spans="1:12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9"/>
      <c r="L560" s="88"/>
    </row>
    <row r="561" spans="1:12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9"/>
      <c r="L561" s="88"/>
    </row>
    <row r="562" spans="1:1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9"/>
      <c r="L562" s="88"/>
    </row>
    <row r="563" spans="1:12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9"/>
      <c r="L563" s="88"/>
    </row>
    <row r="564" spans="1:12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9"/>
      <c r="L564" s="88"/>
    </row>
    <row r="565" spans="1:12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9"/>
      <c r="L565" s="88"/>
    </row>
    <row r="566" spans="1:12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9"/>
      <c r="L566" s="88"/>
    </row>
    <row r="567" spans="1:12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9"/>
      <c r="L567" s="88"/>
    </row>
    <row r="568" spans="1:12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9"/>
      <c r="L568" s="88"/>
    </row>
    <row r="569" spans="1:12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9"/>
      <c r="L569" s="88"/>
    </row>
    <row r="570" spans="1:12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9"/>
      <c r="L570" s="88"/>
    </row>
    <row r="571" spans="1:12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9"/>
      <c r="L571" s="88"/>
    </row>
    <row r="572" spans="1:1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9"/>
      <c r="L572" s="88"/>
    </row>
    <row r="573" spans="1:12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9"/>
      <c r="L573" s="88"/>
    </row>
    <row r="574" spans="1:12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9"/>
      <c r="L574" s="88"/>
    </row>
    <row r="575" spans="1:12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9"/>
      <c r="L575" s="88"/>
    </row>
    <row r="576" spans="1:12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9"/>
      <c r="L576" s="88"/>
    </row>
    <row r="577" spans="1:12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9"/>
      <c r="L577" s="88"/>
    </row>
    <row r="578" spans="1:12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9"/>
      <c r="L578" s="88"/>
    </row>
    <row r="579" spans="1:12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9"/>
      <c r="L579" s="88"/>
    </row>
    <row r="580" spans="1:12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9"/>
      <c r="L580" s="88"/>
    </row>
    <row r="581" spans="1:12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9"/>
      <c r="L581" s="88"/>
    </row>
    <row r="582" spans="1:1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9"/>
      <c r="L582" s="88"/>
    </row>
    <row r="583" spans="1:12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9"/>
      <c r="L583" s="88"/>
    </row>
    <row r="584" spans="1:12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9"/>
      <c r="L584" s="88"/>
    </row>
    <row r="585" spans="1:12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9"/>
      <c r="L585" s="88"/>
    </row>
    <row r="586" spans="1:12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9"/>
      <c r="L586" s="88"/>
    </row>
    <row r="587" spans="1:12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9"/>
      <c r="L587" s="88"/>
    </row>
    <row r="588" spans="1:12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9"/>
      <c r="L588" s="88"/>
    </row>
    <row r="589" spans="1:12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9"/>
      <c r="L589" s="88"/>
    </row>
    <row r="590" spans="1:12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9"/>
      <c r="L590" s="88"/>
    </row>
    <row r="591" spans="1:12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9"/>
      <c r="L591" s="88"/>
    </row>
    <row r="592" spans="1:1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9"/>
      <c r="L592" s="88"/>
    </row>
    <row r="593" spans="1:12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9"/>
      <c r="L593" s="88"/>
    </row>
    <row r="594" spans="1:12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9"/>
      <c r="L594" s="88"/>
    </row>
    <row r="595" spans="1:12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9"/>
      <c r="L595" s="88"/>
    </row>
    <row r="596" spans="1:12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9"/>
      <c r="L596" s="88"/>
    </row>
    <row r="597" spans="1:12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9"/>
      <c r="L597" s="88"/>
    </row>
    <row r="598" spans="1:12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9"/>
      <c r="L598" s="88"/>
    </row>
    <row r="599" spans="1:12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9"/>
      <c r="L599" s="88"/>
    </row>
    <row r="600" spans="1:12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9"/>
      <c r="L600" s="88"/>
    </row>
    <row r="601" spans="1:12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9"/>
      <c r="L601" s="88"/>
    </row>
    <row r="602" spans="1:1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9"/>
      <c r="L602" s="88"/>
    </row>
    <row r="603" spans="1:12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9"/>
      <c r="L603" s="88"/>
    </row>
    <row r="604" spans="1:12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9"/>
      <c r="L604" s="88"/>
    </row>
    <row r="605" spans="1:12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9"/>
      <c r="L605" s="88"/>
    </row>
    <row r="606" spans="1:12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9"/>
      <c r="L606" s="88"/>
    </row>
    <row r="607" spans="1:12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9"/>
      <c r="L607" s="88"/>
    </row>
    <row r="608" spans="1:12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9"/>
      <c r="L608" s="88"/>
    </row>
    <row r="609" spans="1:12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9"/>
      <c r="L609" s="88"/>
    </row>
    <row r="610" spans="1:12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9"/>
      <c r="L610" s="88"/>
    </row>
    <row r="611" spans="1:12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9"/>
      <c r="L611" s="88"/>
    </row>
    <row r="612" spans="1: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9"/>
      <c r="L612" s="88"/>
    </row>
    <row r="613" spans="1:12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9"/>
      <c r="L613" s="88"/>
    </row>
    <row r="614" spans="1:12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9"/>
      <c r="L614" s="88"/>
    </row>
    <row r="615" spans="1:12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9"/>
      <c r="L615" s="88"/>
    </row>
    <row r="616" spans="1:12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9"/>
      <c r="L616" s="88"/>
    </row>
    <row r="617" spans="1:12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9"/>
      <c r="L617" s="88"/>
    </row>
    <row r="618" spans="1:12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9"/>
      <c r="L618" s="88"/>
    </row>
    <row r="619" spans="1:12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9"/>
      <c r="L619" s="88"/>
    </row>
    <row r="620" spans="1:12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9"/>
      <c r="L620" s="88"/>
    </row>
    <row r="621" spans="1:12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9"/>
      <c r="L621" s="88"/>
    </row>
    <row r="622" spans="1:1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9"/>
      <c r="L622" s="88"/>
    </row>
    <row r="623" spans="1:12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9"/>
      <c r="L623" s="88"/>
    </row>
    <row r="624" spans="1:12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9"/>
      <c r="L624" s="88"/>
    </row>
    <row r="625" spans="1:12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9"/>
      <c r="L625" s="88"/>
    </row>
    <row r="626" spans="1:12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9"/>
      <c r="L626" s="88"/>
    </row>
    <row r="627" spans="1:12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9"/>
      <c r="L627" s="88"/>
    </row>
    <row r="628" spans="1:12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9"/>
      <c r="L628" s="88"/>
    </row>
    <row r="629" spans="1:12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9"/>
      <c r="L629" s="88"/>
    </row>
    <row r="630" spans="1:12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9"/>
      <c r="L630" s="88"/>
    </row>
    <row r="631" spans="1:12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9"/>
      <c r="L631" s="88"/>
    </row>
    <row r="632" spans="1:1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9"/>
      <c r="L632" s="88"/>
    </row>
    <row r="633" spans="1:12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9"/>
      <c r="L633" s="88"/>
    </row>
    <row r="634" spans="1:12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9"/>
      <c r="L634" s="88"/>
    </row>
    <row r="635" spans="1:12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9"/>
      <c r="L635" s="88"/>
    </row>
    <row r="636" spans="1:12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9"/>
      <c r="L636" s="88"/>
    </row>
    <row r="637" spans="1:12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9"/>
      <c r="L637" s="88"/>
    </row>
    <row r="638" spans="1:12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9"/>
      <c r="L638" s="88"/>
    </row>
    <row r="639" spans="1:12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9"/>
      <c r="L639" s="88"/>
    </row>
    <row r="640" spans="1:12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9"/>
      <c r="L640" s="88"/>
    </row>
    <row r="641" spans="1:12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9"/>
      <c r="L641" s="88"/>
    </row>
    <row r="642" spans="1:1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9"/>
      <c r="L642" s="88"/>
    </row>
    <row r="643" spans="1:12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9"/>
      <c r="L643" s="88"/>
    </row>
    <row r="644" spans="1:12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9"/>
      <c r="L644" s="88"/>
    </row>
    <row r="645" spans="1:12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9"/>
      <c r="L645" s="88"/>
    </row>
    <row r="646" spans="1:12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9"/>
      <c r="L646" s="88"/>
    </row>
    <row r="647" spans="1:12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9"/>
      <c r="L647" s="88"/>
    </row>
    <row r="648" spans="1:12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9"/>
      <c r="L648" s="88"/>
    </row>
    <row r="649" spans="1:12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9"/>
      <c r="L649" s="88"/>
    </row>
    <row r="650" spans="1:12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9"/>
      <c r="L650" s="88"/>
    </row>
    <row r="651" spans="1:12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9"/>
      <c r="L651" s="88"/>
    </row>
    <row r="652" spans="1:1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9"/>
      <c r="L652" s="88"/>
    </row>
    <row r="653" spans="1:12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9"/>
      <c r="L653" s="88"/>
    </row>
    <row r="654" spans="1:12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9"/>
      <c r="L654" s="88"/>
    </row>
    <row r="655" spans="1:12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9"/>
      <c r="L655" s="88"/>
    </row>
    <row r="656" spans="1:12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9"/>
      <c r="L656" s="88"/>
    </row>
    <row r="657" spans="1:12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9"/>
      <c r="L657" s="88"/>
    </row>
    <row r="658" spans="1:12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9"/>
      <c r="L658" s="88"/>
    </row>
    <row r="659" spans="1:12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9"/>
      <c r="L659" s="88"/>
    </row>
    <row r="660" spans="1:12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9"/>
      <c r="L660" s="88"/>
    </row>
    <row r="661" spans="1:12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9"/>
      <c r="L661" s="88"/>
    </row>
    <row r="662" spans="1:1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9"/>
      <c r="L662" s="88"/>
    </row>
    <row r="663" spans="1:12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9"/>
      <c r="L663" s="88"/>
    </row>
    <row r="664" spans="1:12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9"/>
      <c r="L664" s="88"/>
    </row>
    <row r="665" spans="1:12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9"/>
      <c r="L665" s="88"/>
    </row>
    <row r="666" spans="1:12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9"/>
      <c r="L666" s="88"/>
    </row>
    <row r="667" spans="1:12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9"/>
      <c r="L667" s="88"/>
    </row>
    <row r="668" spans="1:12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9"/>
      <c r="L668" s="88"/>
    </row>
    <row r="669" spans="1:12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9"/>
      <c r="L669" s="88"/>
    </row>
    <row r="670" spans="1:12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9"/>
      <c r="L670" s="88"/>
    </row>
    <row r="671" spans="1:12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9"/>
      <c r="L671" s="88"/>
    </row>
    <row r="672" spans="1:1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9"/>
      <c r="L672" s="88"/>
    </row>
    <row r="673" spans="1:12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9"/>
      <c r="L673" s="88"/>
    </row>
    <row r="674" spans="1:12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9"/>
      <c r="L674" s="88"/>
    </row>
    <row r="675" spans="1:12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9"/>
      <c r="L675" s="88"/>
    </row>
    <row r="676" spans="1:12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9"/>
      <c r="L676" s="88"/>
    </row>
    <row r="677" spans="1:12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9"/>
      <c r="L677" s="88"/>
    </row>
    <row r="678" spans="1:12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9"/>
      <c r="L678" s="88"/>
    </row>
    <row r="679" spans="1:12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9"/>
      <c r="L679" s="88"/>
    </row>
    <row r="680" spans="1:12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9"/>
      <c r="L680" s="88"/>
    </row>
    <row r="681" spans="1:12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9"/>
      <c r="L681" s="88"/>
    </row>
    <row r="682" spans="1:1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9"/>
      <c r="L682" s="88"/>
    </row>
    <row r="683" spans="1:12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9"/>
      <c r="L683" s="88"/>
    </row>
    <row r="684" spans="1:12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9"/>
      <c r="L684" s="88"/>
    </row>
    <row r="685" spans="1:12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9"/>
      <c r="L685" s="88"/>
    </row>
    <row r="686" spans="1:12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9"/>
      <c r="L686" s="88"/>
    </row>
    <row r="687" spans="1:12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9"/>
      <c r="L687" s="88"/>
    </row>
    <row r="688" spans="1:12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9"/>
      <c r="L688" s="88"/>
    </row>
    <row r="689" spans="1:12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9"/>
      <c r="L689" s="88"/>
    </row>
    <row r="690" spans="1:12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9"/>
      <c r="L690" s="88"/>
    </row>
    <row r="691" spans="1:12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9"/>
      <c r="L691" s="88"/>
    </row>
    <row r="692" spans="1:1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9"/>
      <c r="L692" s="88"/>
    </row>
    <row r="693" spans="1:12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9"/>
      <c r="L693" s="88"/>
    </row>
    <row r="694" spans="1:12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9"/>
      <c r="L694" s="88"/>
    </row>
    <row r="695" spans="1:12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9"/>
      <c r="L695" s="88"/>
    </row>
    <row r="696" spans="1:12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9"/>
      <c r="L696" s="88"/>
    </row>
    <row r="697" spans="1:12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9"/>
      <c r="L697" s="88"/>
    </row>
    <row r="698" spans="1:12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9"/>
      <c r="L698" s="88"/>
    </row>
    <row r="699" spans="1:12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9"/>
      <c r="L699" s="88"/>
    </row>
    <row r="700" spans="1:12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9"/>
      <c r="L700" s="88"/>
    </row>
    <row r="701" spans="1:12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9"/>
      <c r="L701" s="88"/>
    </row>
    <row r="702" spans="1:1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9"/>
      <c r="L702" s="88"/>
    </row>
    <row r="703" spans="1:12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9"/>
      <c r="L703" s="88"/>
    </row>
    <row r="704" spans="1:12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9"/>
      <c r="L704" s="88"/>
    </row>
    <row r="705" spans="1:12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9"/>
      <c r="L705" s="88"/>
    </row>
    <row r="706" spans="1:12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9"/>
      <c r="L706" s="88"/>
    </row>
    <row r="707" spans="1:12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9"/>
      <c r="L707" s="88"/>
    </row>
    <row r="708" spans="1:12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9"/>
      <c r="L708" s="88"/>
    </row>
    <row r="709" spans="1:12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9"/>
      <c r="L709" s="88"/>
    </row>
    <row r="710" spans="1:12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9"/>
      <c r="L710" s="88"/>
    </row>
    <row r="711" spans="1:12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9"/>
      <c r="L711" s="88"/>
    </row>
    <row r="712" spans="1: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9"/>
      <c r="L712" s="88"/>
    </row>
    <row r="713" spans="1:12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9"/>
      <c r="L713" s="88"/>
    </row>
    <row r="714" spans="1:12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9"/>
      <c r="L714" s="88"/>
    </row>
    <row r="715" spans="1:12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9"/>
      <c r="L715" s="88"/>
    </row>
    <row r="716" spans="1:12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9"/>
      <c r="L716" s="88"/>
    </row>
    <row r="717" spans="1:12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9"/>
      <c r="L717" s="88"/>
    </row>
    <row r="718" spans="1:12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9"/>
      <c r="L718" s="88"/>
    </row>
    <row r="719" spans="1:12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9"/>
      <c r="L719" s="88"/>
    </row>
    <row r="720" spans="1:12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9"/>
      <c r="L720" s="88"/>
    </row>
    <row r="721" spans="1:12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9"/>
      <c r="L721" s="88"/>
    </row>
    <row r="722" spans="1:1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9"/>
      <c r="L722" s="88"/>
    </row>
    <row r="723" spans="1:12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9"/>
      <c r="L723" s="88"/>
    </row>
    <row r="724" spans="1:12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9"/>
      <c r="L724" s="88"/>
    </row>
    <row r="725" spans="1:12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9"/>
      <c r="L725" s="88"/>
    </row>
    <row r="726" spans="1:12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9"/>
      <c r="L726" s="88"/>
    </row>
    <row r="727" spans="1:12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9"/>
      <c r="L727" s="88"/>
    </row>
    <row r="728" spans="1:12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9"/>
      <c r="L728" s="88"/>
    </row>
    <row r="729" spans="1:12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9"/>
      <c r="L729" s="88"/>
    </row>
    <row r="730" spans="1:12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9"/>
      <c r="L730" s="88"/>
    </row>
    <row r="731" spans="1:12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9"/>
      <c r="L731" s="88"/>
    </row>
    <row r="732" spans="1:1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9"/>
      <c r="L732" s="88"/>
    </row>
    <row r="733" spans="1:12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9"/>
      <c r="L733" s="88"/>
    </row>
    <row r="734" spans="1:12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9"/>
      <c r="L734" s="88"/>
    </row>
    <row r="735" spans="1:12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9"/>
      <c r="L735" s="88"/>
    </row>
    <row r="736" spans="1:12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9"/>
      <c r="L736" s="88"/>
    </row>
    <row r="737" spans="1:12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9"/>
      <c r="L737" s="88"/>
    </row>
    <row r="738" spans="1:12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9"/>
      <c r="L738" s="88"/>
    </row>
    <row r="739" spans="1:12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9"/>
      <c r="L739" s="88"/>
    </row>
    <row r="740" spans="1:12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9"/>
      <c r="L740" s="88"/>
    </row>
    <row r="741" spans="1:12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9"/>
      <c r="L741" s="88"/>
    </row>
    <row r="742" spans="1:1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9"/>
      <c r="L742" s="88"/>
    </row>
    <row r="743" spans="1:12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9"/>
      <c r="L743" s="88"/>
    </row>
    <row r="744" spans="1:12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9"/>
      <c r="L744" s="88"/>
    </row>
    <row r="745" spans="1:12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9"/>
      <c r="L745" s="88"/>
    </row>
    <row r="746" spans="1:12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9"/>
      <c r="L746" s="88"/>
    </row>
    <row r="747" spans="1:12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9"/>
      <c r="L747" s="88"/>
    </row>
    <row r="748" spans="1:12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9"/>
      <c r="L748" s="88"/>
    </row>
    <row r="749" spans="1:12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9"/>
      <c r="L749" s="88"/>
    </row>
    <row r="750" spans="1:12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9"/>
      <c r="L750" s="88"/>
    </row>
    <row r="751" spans="1:12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9"/>
      <c r="L751" s="88"/>
    </row>
    <row r="752" spans="1:1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9"/>
      <c r="L752" s="88"/>
    </row>
    <row r="753" spans="1:12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9"/>
      <c r="L753" s="88"/>
    </row>
    <row r="754" spans="1:12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9"/>
      <c r="L754" s="88"/>
    </row>
    <row r="755" spans="1:12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9"/>
      <c r="L755" s="88"/>
    </row>
    <row r="756" spans="1:12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9"/>
      <c r="L756" s="88"/>
    </row>
    <row r="757" spans="1:12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9"/>
      <c r="L757" s="88"/>
    </row>
    <row r="758" spans="1:12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9"/>
      <c r="L758" s="88"/>
    </row>
    <row r="759" spans="1:12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9"/>
      <c r="L759" s="88"/>
    </row>
    <row r="760" spans="1:12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9"/>
      <c r="L760" s="88"/>
    </row>
    <row r="761" spans="1:12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9"/>
      <c r="L761" s="88"/>
    </row>
    <row r="762" spans="1:1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9"/>
      <c r="L762" s="88"/>
    </row>
    <row r="763" spans="1:12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9"/>
      <c r="L763" s="88"/>
    </row>
    <row r="764" spans="1:12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9"/>
      <c r="L764" s="88"/>
    </row>
    <row r="765" spans="1:12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9"/>
      <c r="L765" s="88"/>
    </row>
    <row r="766" spans="1:12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9"/>
      <c r="L766" s="88"/>
    </row>
    <row r="767" spans="1:12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9"/>
      <c r="L767" s="88"/>
    </row>
    <row r="768" spans="1:12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9"/>
      <c r="L768" s="88"/>
    </row>
    <row r="769" spans="1:12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9"/>
      <c r="L769" s="88"/>
    </row>
    <row r="770" spans="1:12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9"/>
      <c r="L770" s="88"/>
    </row>
    <row r="771" spans="1:12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9"/>
      <c r="L771" s="88"/>
    </row>
    <row r="772" spans="1:1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9"/>
      <c r="L772" s="88"/>
    </row>
    <row r="773" spans="1:12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9"/>
      <c r="L773" s="88"/>
    </row>
    <row r="774" spans="1:12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9"/>
      <c r="L774" s="88"/>
    </row>
    <row r="775" spans="1:12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9"/>
      <c r="L775" s="88"/>
    </row>
    <row r="776" spans="1:12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9"/>
      <c r="L776" s="88"/>
    </row>
    <row r="777" spans="1:12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9"/>
      <c r="L777" s="88"/>
    </row>
    <row r="778" spans="1:12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9"/>
      <c r="L778" s="88"/>
    </row>
    <row r="779" spans="1:12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9"/>
      <c r="L779" s="88"/>
    </row>
    <row r="780" spans="1:12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9"/>
      <c r="L780" s="88"/>
    </row>
    <row r="781" spans="1:12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9"/>
      <c r="L781" s="88"/>
    </row>
    <row r="782" spans="1:1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9"/>
      <c r="L782" s="88"/>
    </row>
    <row r="783" spans="1:12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9"/>
      <c r="L783" s="88"/>
    </row>
    <row r="784" spans="1:12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9"/>
      <c r="L784" s="88"/>
    </row>
    <row r="785" spans="1:12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9"/>
      <c r="L785" s="88"/>
    </row>
    <row r="786" spans="1:12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9"/>
      <c r="L786" s="88"/>
    </row>
    <row r="787" spans="1:12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9"/>
      <c r="L787" s="88"/>
    </row>
    <row r="788" spans="1:12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9"/>
      <c r="L788" s="88"/>
    </row>
    <row r="789" spans="1:12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9"/>
      <c r="L789" s="88"/>
    </row>
    <row r="790" spans="1:12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9"/>
      <c r="L790" s="88"/>
    </row>
    <row r="791" spans="1:12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9"/>
      <c r="L791" s="88"/>
    </row>
    <row r="792" spans="1:1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9"/>
      <c r="L792" s="88"/>
    </row>
    <row r="793" spans="1:12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9"/>
      <c r="L793" s="88"/>
    </row>
    <row r="794" spans="1:12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9"/>
      <c r="L794" s="88"/>
    </row>
    <row r="795" spans="1:12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9"/>
      <c r="L795" s="88"/>
    </row>
    <row r="796" spans="1:12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9"/>
      <c r="L796" s="88"/>
    </row>
    <row r="797" spans="1:12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9"/>
      <c r="L797" s="88"/>
    </row>
    <row r="798" spans="1:12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9"/>
      <c r="L798" s="88"/>
    </row>
    <row r="799" spans="1:12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9"/>
      <c r="L799" s="88"/>
    </row>
    <row r="800" spans="1:12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9"/>
      <c r="L800" s="88"/>
    </row>
    <row r="801" spans="1:12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9"/>
      <c r="L801" s="88"/>
    </row>
    <row r="802" spans="1:1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9"/>
      <c r="L802" s="88"/>
    </row>
    <row r="803" spans="1:12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9"/>
      <c r="L803" s="88"/>
    </row>
    <row r="804" spans="1:12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9"/>
      <c r="L804" s="88"/>
    </row>
    <row r="805" spans="1:12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9"/>
      <c r="L805" s="88"/>
    </row>
    <row r="806" spans="1:12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9"/>
      <c r="L806" s="88"/>
    </row>
    <row r="807" spans="1:12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9"/>
      <c r="L807" s="88"/>
    </row>
    <row r="808" spans="1:12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9"/>
      <c r="L808" s="88"/>
    </row>
    <row r="809" spans="1:12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9"/>
      <c r="L809" s="88"/>
    </row>
    <row r="810" spans="1:12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9"/>
      <c r="L810" s="88"/>
    </row>
    <row r="811" spans="1:12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9"/>
      <c r="L811" s="88"/>
    </row>
    <row r="812" spans="1: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9"/>
      <c r="L812" s="88"/>
    </row>
    <row r="813" spans="1:12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9"/>
      <c r="L813" s="88"/>
    </row>
    <row r="814" spans="1:12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9"/>
      <c r="L814" s="88"/>
    </row>
    <row r="815" spans="1:12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9"/>
      <c r="L815" s="88"/>
    </row>
    <row r="816" spans="1:12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9"/>
      <c r="L816" s="88"/>
    </row>
    <row r="817" spans="1:12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9"/>
      <c r="L817" s="88"/>
    </row>
    <row r="818" spans="1:12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9"/>
      <c r="L818" s="88"/>
    </row>
    <row r="819" spans="1:12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9"/>
      <c r="L819" s="88"/>
    </row>
    <row r="820" spans="1:12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9"/>
      <c r="L820" s="88"/>
    </row>
    <row r="821" spans="1:12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9"/>
      <c r="L821" s="88"/>
    </row>
    <row r="822" spans="1:1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9"/>
      <c r="L822" s="88"/>
    </row>
    <row r="823" spans="1:12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9"/>
      <c r="L823" s="88"/>
    </row>
    <row r="824" spans="1:12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9"/>
      <c r="L824" s="88"/>
    </row>
    <row r="825" spans="1:12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9"/>
      <c r="L825" s="88"/>
    </row>
    <row r="826" spans="1:12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9"/>
      <c r="L826" s="88"/>
    </row>
    <row r="827" spans="1:12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9"/>
      <c r="L827" s="88"/>
    </row>
    <row r="828" spans="1:12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9"/>
      <c r="L828" s="88"/>
    </row>
    <row r="829" spans="1:12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9"/>
      <c r="L829" s="88"/>
    </row>
    <row r="830" spans="1:12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9"/>
      <c r="L830" s="88"/>
    </row>
    <row r="831" spans="1:12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9"/>
      <c r="L831" s="88"/>
    </row>
    <row r="832" spans="1:1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9"/>
      <c r="L832" s="88"/>
    </row>
    <row r="833" spans="1:12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9"/>
      <c r="L833" s="88"/>
    </row>
    <row r="834" spans="1:12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9"/>
      <c r="L834" s="88"/>
    </row>
    <row r="835" spans="1:12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9"/>
      <c r="L835" s="88"/>
    </row>
    <row r="836" spans="1:12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9"/>
      <c r="L836" s="88"/>
    </row>
    <row r="837" spans="1:12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9"/>
      <c r="L837" s="88"/>
    </row>
    <row r="838" spans="1:12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9"/>
      <c r="L838" s="88"/>
    </row>
    <row r="839" spans="1:12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9"/>
      <c r="L839" s="88"/>
    </row>
    <row r="840" spans="1:12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9"/>
      <c r="L840" s="88"/>
    </row>
    <row r="841" spans="1:12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9"/>
      <c r="L841" s="88"/>
    </row>
    <row r="842" spans="1:1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9"/>
      <c r="L842" s="88"/>
    </row>
    <row r="843" spans="1:12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9"/>
      <c r="L843" s="88"/>
    </row>
    <row r="844" spans="1:12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9"/>
      <c r="L844" s="88"/>
    </row>
    <row r="845" spans="1:12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9"/>
      <c r="L845" s="88"/>
    </row>
    <row r="846" spans="1:12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9"/>
      <c r="L846" s="88"/>
    </row>
    <row r="847" spans="1:12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9"/>
      <c r="L847" s="88"/>
    </row>
    <row r="848" spans="1:12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9"/>
      <c r="L848" s="88"/>
    </row>
    <row r="849" spans="1:12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9"/>
      <c r="L849" s="88"/>
    </row>
    <row r="850" spans="1:12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9"/>
      <c r="L850" s="88"/>
    </row>
    <row r="851" spans="1:12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9"/>
      <c r="L851" s="88"/>
    </row>
    <row r="852" spans="1:1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9"/>
      <c r="L852" s="88"/>
    </row>
    <row r="853" spans="1:12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9"/>
      <c r="L853" s="88"/>
    </row>
    <row r="854" spans="1:12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9"/>
      <c r="L854" s="88"/>
    </row>
    <row r="855" spans="1:12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9"/>
      <c r="L855" s="88"/>
    </row>
    <row r="856" spans="1:12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9"/>
      <c r="L856" s="88"/>
    </row>
    <row r="857" spans="1:12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9"/>
      <c r="L857" s="88"/>
    </row>
    <row r="858" spans="1:12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9"/>
      <c r="L858" s="88"/>
    </row>
    <row r="859" spans="1:12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9"/>
      <c r="L859" s="88"/>
    </row>
    <row r="860" spans="1:12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9"/>
      <c r="L860" s="88"/>
    </row>
    <row r="861" spans="1:12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9"/>
      <c r="L861" s="88"/>
    </row>
    <row r="862" spans="1:1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9"/>
      <c r="L862" s="88"/>
    </row>
    <row r="863" spans="1:12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9"/>
      <c r="L863" s="88"/>
    </row>
    <row r="864" spans="1:12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9"/>
      <c r="L864" s="88"/>
    </row>
    <row r="865" spans="1:12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9"/>
      <c r="L865" s="88"/>
    </row>
    <row r="866" spans="1:12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9"/>
      <c r="L866" s="88"/>
    </row>
    <row r="867" spans="1:12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9"/>
      <c r="L867" s="88"/>
    </row>
    <row r="868" spans="1:12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9"/>
      <c r="L868" s="88"/>
    </row>
    <row r="869" spans="1:12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9"/>
      <c r="L869" s="88"/>
    </row>
    <row r="870" spans="1:12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9"/>
      <c r="L870" s="88"/>
    </row>
    <row r="871" spans="1:12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9"/>
      <c r="L871" s="88"/>
    </row>
    <row r="872" spans="1:1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9"/>
      <c r="L872" s="88"/>
    </row>
    <row r="873" spans="1:12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9"/>
      <c r="L873" s="88"/>
    </row>
    <row r="874" spans="1:12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9"/>
      <c r="L874" s="88"/>
    </row>
    <row r="875" spans="1:12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9"/>
      <c r="L875" s="88"/>
    </row>
    <row r="876" spans="1:12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9"/>
      <c r="L876" s="88"/>
    </row>
    <row r="877" spans="1:12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9"/>
      <c r="L877" s="88"/>
    </row>
    <row r="878" spans="1:12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9"/>
      <c r="L878" s="88"/>
    </row>
    <row r="879" spans="1:12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9"/>
      <c r="L879" s="88"/>
    </row>
    <row r="880" spans="1:12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9"/>
      <c r="L880" s="88"/>
    </row>
    <row r="881" spans="1:12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9"/>
      <c r="L881" s="88"/>
    </row>
    <row r="882" spans="1:1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9"/>
      <c r="L882" s="88"/>
    </row>
    <row r="883" spans="1:12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9"/>
      <c r="L883" s="88"/>
    </row>
    <row r="884" spans="1:12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9"/>
      <c r="L884" s="88"/>
    </row>
    <row r="885" spans="1:12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9"/>
      <c r="L885" s="88"/>
    </row>
    <row r="886" spans="1:12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9"/>
      <c r="L886" s="88"/>
    </row>
    <row r="887" spans="1:12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9"/>
      <c r="L887" s="88"/>
    </row>
    <row r="888" spans="1:12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9"/>
      <c r="L888" s="88"/>
    </row>
    <row r="889" spans="1:12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9"/>
      <c r="L889" s="88"/>
    </row>
    <row r="890" spans="1:12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9"/>
      <c r="L890" s="88"/>
    </row>
    <row r="891" spans="1:12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9"/>
      <c r="L891" s="88"/>
    </row>
    <row r="892" spans="1:1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9"/>
      <c r="L892" s="88"/>
    </row>
    <row r="893" spans="1:12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9"/>
      <c r="L893" s="88"/>
    </row>
    <row r="894" spans="1:12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9"/>
      <c r="L894" s="88"/>
    </row>
    <row r="895" spans="1:12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9"/>
      <c r="L895" s="88"/>
    </row>
    <row r="896" spans="1:12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9"/>
      <c r="L896" s="88"/>
    </row>
    <row r="897" spans="1:12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9"/>
      <c r="L897" s="88"/>
    </row>
    <row r="898" spans="1:12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9"/>
      <c r="L898" s="88"/>
    </row>
    <row r="899" spans="1:12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9"/>
      <c r="L899" s="88"/>
    </row>
    <row r="900" spans="1:12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9"/>
      <c r="L900" s="88"/>
    </row>
    <row r="901" spans="1:12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9"/>
      <c r="L901" s="88"/>
    </row>
    <row r="902" spans="1:1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9"/>
      <c r="L902" s="88"/>
    </row>
    <row r="903" spans="1:12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9"/>
      <c r="L903" s="88"/>
    </row>
    <row r="904" spans="1:12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9"/>
      <c r="L904" s="88"/>
    </row>
    <row r="905" spans="1:12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9"/>
      <c r="L905" s="88"/>
    </row>
    <row r="906" spans="1:12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9"/>
      <c r="L906" s="88"/>
    </row>
    <row r="907" spans="1:12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9"/>
      <c r="L907" s="88"/>
    </row>
    <row r="908" spans="1:12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9"/>
      <c r="L908" s="88"/>
    </row>
    <row r="909" spans="1:12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9"/>
      <c r="L909" s="88"/>
    </row>
    <row r="910" spans="1:12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9"/>
      <c r="L910" s="88"/>
    </row>
    <row r="911" spans="1:12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9"/>
      <c r="L911" s="88"/>
    </row>
    <row r="912" spans="1: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9"/>
      <c r="L912" s="88"/>
    </row>
    <row r="913" spans="1:12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9"/>
      <c r="L913" s="88"/>
    </row>
    <row r="914" spans="1:12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9"/>
      <c r="L914" s="88"/>
    </row>
    <row r="915" spans="1:12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9"/>
      <c r="L915" s="88"/>
    </row>
    <row r="916" spans="1:12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9"/>
      <c r="L916" s="88"/>
    </row>
    <row r="917" spans="1:12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9"/>
      <c r="L917" s="88"/>
    </row>
    <row r="918" spans="1:12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9"/>
      <c r="L918" s="88"/>
    </row>
    <row r="919" spans="1:12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9"/>
      <c r="L919" s="88"/>
    </row>
    <row r="920" spans="1:12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9"/>
      <c r="L920" s="88"/>
    </row>
    <row r="921" spans="1:12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9"/>
      <c r="L921" s="88"/>
    </row>
    <row r="922" spans="1:1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9"/>
      <c r="L922" s="88"/>
    </row>
    <row r="923" spans="1:12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9"/>
      <c r="L923" s="88"/>
    </row>
    <row r="924" spans="1:12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9"/>
      <c r="L924" s="88"/>
    </row>
    <row r="925" spans="1:12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9"/>
      <c r="L925" s="88"/>
    </row>
    <row r="926" spans="1:12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9"/>
      <c r="L926" s="88"/>
    </row>
    <row r="927" spans="1:12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9"/>
      <c r="L927" s="88"/>
    </row>
    <row r="928" spans="1:12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9"/>
      <c r="L928" s="88"/>
    </row>
    <row r="929" spans="1:12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9"/>
      <c r="L929" s="88"/>
    </row>
    <row r="930" spans="1:12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9"/>
      <c r="L930" s="88"/>
    </row>
    <row r="931" spans="1:12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9"/>
      <c r="L931" s="88"/>
    </row>
    <row r="932" spans="1:1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9"/>
      <c r="L932" s="88"/>
    </row>
    <row r="933" spans="1:12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9"/>
      <c r="L933" s="88"/>
    </row>
    <row r="934" spans="1:12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9"/>
      <c r="L934" s="88"/>
    </row>
    <row r="935" spans="1:12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9"/>
      <c r="L935" s="88"/>
    </row>
    <row r="936" spans="1:12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9"/>
      <c r="L936" s="88"/>
    </row>
    <row r="937" spans="1:12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9"/>
      <c r="L937" s="88"/>
    </row>
    <row r="938" spans="1:12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9"/>
      <c r="L938" s="88"/>
    </row>
    <row r="939" spans="1:12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9"/>
      <c r="L939" s="88"/>
    </row>
    <row r="940" spans="1:12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9"/>
      <c r="L940" s="88"/>
    </row>
    <row r="941" spans="1:12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9"/>
      <c r="L941" s="88"/>
    </row>
    <row r="942" spans="1:1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9"/>
      <c r="L942" s="88"/>
    </row>
    <row r="943" spans="1:12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9"/>
      <c r="L943" s="88"/>
    </row>
    <row r="944" spans="1:12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9"/>
      <c r="L944" s="88"/>
    </row>
    <row r="945" spans="1:12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9"/>
      <c r="L945" s="88"/>
    </row>
    <row r="946" spans="1:12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9"/>
      <c r="L946" s="88"/>
    </row>
    <row r="947" spans="1:12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9"/>
      <c r="L947" s="88"/>
    </row>
    <row r="948" spans="1:12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9"/>
      <c r="L948" s="88"/>
    </row>
    <row r="949" spans="1:12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9"/>
      <c r="L949" s="88"/>
    </row>
    <row r="950" spans="1:12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9"/>
      <c r="L950" s="88"/>
    </row>
    <row r="951" spans="1:12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9"/>
      <c r="L951" s="88"/>
    </row>
    <row r="952" spans="1:1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9"/>
      <c r="L952" s="88"/>
    </row>
    <row r="953" spans="1:12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9"/>
      <c r="L953" s="88"/>
    </row>
    <row r="954" spans="1:12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9"/>
      <c r="L954" s="88"/>
    </row>
    <row r="955" spans="1:12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9"/>
      <c r="L955" s="88"/>
    </row>
    <row r="956" spans="1:12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9"/>
      <c r="L956" s="88"/>
    </row>
    <row r="957" spans="1:12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9"/>
      <c r="L957" s="88"/>
    </row>
    <row r="958" spans="1:12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9"/>
      <c r="L958" s="88"/>
    </row>
    <row r="959" spans="1:12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9"/>
      <c r="L959" s="88"/>
    </row>
    <row r="960" spans="1:12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9"/>
      <c r="L960" s="88"/>
    </row>
    <row r="961" spans="1:12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9"/>
      <c r="L961" s="88"/>
    </row>
    <row r="962" spans="1:1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9"/>
      <c r="L962" s="88"/>
    </row>
    <row r="963" spans="1:12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9"/>
      <c r="L963" s="88"/>
    </row>
    <row r="964" spans="1:12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9"/>
      <c r="L964" s="88"/>
    </row>
    <row r="965" spans="1:12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9"/>
      <c r="L965" s="88"/>
    </row>
    <row r="966" spans="1:12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9"/>
      <c r="L966" s="88"/>
    </row>
    <row r="967" spans="1:12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9"/>
      <c r="L967" s="88"/>
    </row>
    <row r="968" spans="1:12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9"/>
      <c r="L968" s="88"/>
    </row>
    <row r="969" spans="1:12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9"/>
      <c r="L969" s="88"/>
    </row>
    <row r="970" spans="1:12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9"/>
      <c r="L970" s="88"/>
    </row>
    <row r="971" spans="1:12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9"/>
      <c r="L971" s="88"/>
    </row>
    <row r="972" spans="1:1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9"/>
      <c r="L972" s="88"/>
    </row>
    <row r="973" spans="1:12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9"/>
      <c r="L973" s="88"/>
    </row>
    <row r="974" spans="1:12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9"/>
      <c r="L974" s="88"/>
    </row>
    <row r="975" spans="1:12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9"/>
      <c r="L975" s="88"/>
    </row>
    <row r="976" spans="1:12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9"/>
      <c r="L976" s="88"/>
    </row>
    <row r="977" spans="1:12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9"/>
      <c r="L977" s="88"/>
    </row>
    <row r="978" spans="1:12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9"/>
      <c r="L978" s="88"/>
    </row>
    <row r="979" spans="1:12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9"/>
      <c r="L979" s="88"/>
    </row>
    <row r="980" spans="1:12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9"/>
      <c r="L980" s="88"/>
    </row>
    <row r="981" spans="1:12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9"/>
      <c r="L981" s="88"/>
    </row>
    <row r="982" spans="1:1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9"/>
      <c r="L982" s="88"/>
    </row>
    <row r="983" spans="1:12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9"/>
      <c r="L983" s="88"/>
    </row>
    <row r="984" spans="1:12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9"/>
      <c r="L984" s="88"/>
    </row>
    <row r="985" spans="1:12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9"/>
      <c r="L985" s="88"/>
    </row>
    <row r="986" spans="1:12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9"/>
      <c r="L986" s="88"/>
    </row>
    <row r="987" spans="1:12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9"/>
      <c r="L987" s="88"/>
    </row>
    <row r="988" spans="1:12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9"/>
      <c r="L988" s="88"/>
    </row>
    <row r="989" spans="1:12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9"/>
      <c r="L989" s="88"/>
    </row>
    <row r="990" spans="1:12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9"/>
      <c r="L990" s="88"/>
    </row>
    <row r="991" spans="1:12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9"/>
      <c r="L991" s="88"/>
    </row>
    <row r="992" spans="1:1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9"/>
      <c r="L992" s="88"/>
    </row>
    <row r="993" spans="1:12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9"/>
      <c r="L993" s="88"/>
    </row>
    <row r="994" spans="1:12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9"/>
      <c r="L994" s="88"/>
    </row>
    <row r="995" spans="1:12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9"/>
      <c r="L995" s="88"/>
    </row>
    <row r="996" spans="1:12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9"/>
      <c r="L996" s="88"/>
    </row>
    <row r="997" spans="1:12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9"/>
      <c r="L997" s="88"/>
    </row>
    <row r="998" spans="1:12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9"/>
      <c r="L998" s="88"/>
    </row>
    <row r="999" spans="1:12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9"/>
      <c r="L999" s="88"/>
    </row>
    <row r="1000" spans="1:12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9"/>
      <c r="L1000" s="88"/>
    </row>
    <row r="1001" spans="1:12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9"/>
      <c r="L1001" s="88"/>
    </row>
    <row r="1002" spans="1:12">
      <c r="A1002" s="88"/>
      <c r="B1002" s="88"/>
      <c r="C1002" s="88"/>
      <c r="D1002" s="88"/>
      <c r="E1002" s="88"/>
      <c r="F1002" s="88"/>
      <c r="G1002" s="88"/>
      <c r="H1002" s="88"/>
      <c r="I1002" s="88"/>
      <c r="J1002" s="88"/>
      <c r="K1002" s="89"/>
      <c r="L1002" s="88"/>
    </row>
    <row r="1003" spans="1:12">
      <c r="A1003" s="88"/>
      <c r="B1003" s="88"/>
      <c r="C1003" s="88"/>
      <c r="D1003" s="88"/>
      <c r="E1003" s="88"/>
      <c r="F1003" s="88"/>
      <c r="G1003" s="88"/>
      <c r="H1003" s="88"/>
      <c r="I1003" s="88"/>
      <c r="J1003" s="88"/>
      <c r="K1003" s="89"/>
      <c r="L1003" s="88"/>
    </row>
    <row r="1004" spans="1:12">
      <c r="A1004" s="88"/>
      <c r="B1004" s="88"/>
      <c r="C1004" s="88"/>
      <c r="D1004" s="88"/>
      <c r="E1004" s="88"/>
      <c r="F1004" s="88"/>
      <c r="G1004" s="88"/>
      <c r="H1004" s="88"/>
      <c r="I1004" s="88"/>
      <c r="J1004" s="88"/>
      <c r="K1004" s="89"/>
      <c r="L1004" s="88"/>
    </row>
    <row r="1005" spans="1:12">
      <c r="A1005" s="88"/>
      <c r="B1005" s="88"/>
      <c r="C1005" s="88"/>
      <c r="D1005" s="88"/>
      <c r="E1005" s="88"/>
      <c r="F1005" s="88"/>
      <c r="G1005" s="88"/>
      <c r="H1005" s="88"/>
      <c r="I1005" s="88"/>
      <c r="J1005" s="88"/>
      <c r="K1005" s="89"/>
      <c r="L1005" s="88"/>
    </row>
    <row r="1006" spans="1:12">
      <c r="A1006" s="88"/>
      <c r="B1006" s="88"/>
      <c r="C1006" s="88"/>
      <c r="D1006" s="88"/>
      <c r="E1006" s="88"/>
      <c r="F1006" s="88"/>
      <c r="G1006" s="88"/>
      <c r="H1006" s="88"/>
      <c r="I1006" s="88"/>
      <c r="J1006" s="88"/>
      <c r="K1006" s="89"/>
      <c r="L1006" s="88"/>
    </row>
    <row r="1007" spans="1:12">
      <c r="A1007" s="88"/>
      <c r="B1007" s="88"/>
      <c r="C1007" s="88"/>
      <c r="D1007" s="88"/>
      <c r="E1007" s="88"/>
      <c r="F1007" s="88"/>
      <c r="G1007" s="88"/>
      <c r="H1007" s="88"/>
      <c r="I1007" s="88"/>
      <c r="J1007" s="88"/>
      <c r="K1007" s="89"/>
      <c r="L1007" s="88"/>
    </row>
  </sheetData>
  <mergeCells count="29">
    <mergeCell ref="F25:G25"/>
    <mergeCell ref="K25:L25"/>
    <mergeCell ref="A3:F3"/>
    <mergeCell ref="K3:L3"/>
    <mergeCell ref="A11:F11"/>
    <mergeCell ref="K11:L11"/>
    <mergeCell ref="A13:F13"/>
    <mergeCell ref="K13:L13"/>
    <mergeCell ref="A25:E25"/>
    <mergeCell ref="A37:E37"/>
    <mergeCell ref="F37:G37"/>
    <mergeCell ref="K37:L37"/>
    <mergeCell ref="A44:F44"/>
    <mergeCell ref="K44:L44"/>
    <mergeCell ref="A46:F46"/>
    <mergeCell ref="K46:L46"/>
    <mergeCell ref="F85:G85"/>
    <mergeCell ref="K85:L85"/>
    <mergeCell ref="A92:F92"/>
    <mergeCell ref="K92:L92"/>
    <mergeCell ref="A94:F94"/>
    <mergeCell ref="K94:L94"/>
    <mergeCell ref="A48:E48"/>
    <mergeCell ref="F48:G48"/>
    <mergeCell ref="K48:L48"/>
    <mergeCell ref="A68:E68"/>
    <mergeCell ref="F68:G68"/>
    <mergeCell ref="K68:L68"/>
    <mergeCell ref="A85:E85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3"/>
  <sheetViews>
    <sheetView tabSelected="1" topLeftCell="A43" workbookViewId="0">
      <selection activeCell="J62" sqref="J62"/>
    </sheetView>
  </sheetViews>
  <sheetFormatPr defaultColWidth="12.5703125" defaultRowHeight="15.75" customHeight="1"/>
  <cols>
    <col min="1" max="1" width="9.7109375" customWidth="1"/>
    <col min="2" max="2" width="8.42578125" customWidth="1"/>
    <col min="5" max="5" width="19.28515625" customWidth="1"/>
    <col min="8" max="8" width="16.42578125" bestFit="1" customWidth="1"/>
    <col min="9" max="9" width="15" bestFit="1" customWidth="1"/>
    <col min="11" max="11" width="42" customWidth="1"/>
    <col min="12" max="12" width="64.7109375" customWidth="1"/>
  </cols>
  <sheetData>
    <row r="1" spans="1:12">
      <c r="A1" s="86" t="s">
        <v>140</v>
      </c>
      <c r="B1" s="86" t="s">
        <v>141</v>
      </c>
      <c r="C1" s="86" t="s">
        <v>142</v>
      </c>
      <c r="D1" s="86" t="s">
        <v>143</v>
      </c>
      <c r="E1" s="86" t="s">
        <v>144</v>
      </c>
      <c r="F1" s="86" t="s">
        <v>145</v>
      </c>
      <c r="G1" s="86" t="s">
        <v>129</v>
      </c>
      <c r="H1" s="86" t="s">
        <v>146</v>
      </c>
      <c r="I1" s="86" t="s">
        <v>147</v>
      </c>
      <c r="J1" s="86" t="s">
        <v>148</v>
      </c>
      <c r="K1" s="87" t="s">
        <v>149</v>
      </c>
      <c r="L1" s="86" t="s">
        <v>150</v>
      </c>
    </row>
    <row r="2" spans="1:12">
      <c r="A2" s="88"/>
      <c r="B2" s="88"/>
      <c r="C2" s="88"/>
      <c r="D2" s="88"/>
      <c r="E2" s="88"/>
      <c r="F2" s="88"/>
      <c r="G2" s="88"/>
      <c r="H2" s="88"/>
      <c r="I2" s="88"/>
      <c r="J2" s="88"/>
      <c r="K2" s="89"/>
      <c r="L2" s="90" t="s">
        <v>151</v>
      </c>
    </row>
    <row r="3" spans="1:12">
      <c r="A3" s="127" t="s">
        <v>152</v>
      </c>
      <c r="B3" s="128"/>
      <c r="C3" s="128"/>
      <c r="D3" s="128"/>
      <c r="E3" s="128"/>
      <c r="F3" s="128"/>
      <c r="G3" s="91" t="s">
        <v>153</v>
      </c>
      <c r="H3" s="92">
        <f>A4</f>
        <v>0</v>
      </c>
      <c r="I3" s="93">
        <f>A10+B10-1</f>
        <v>15</v>
      </c>
      <c r="J3" s="94">
        <f>I3-H3+1</f>
        <v>16</v>
      </c>
      <c r="K3" s="129" t="s">
        <v>154</v>
      </c>
      <c r="L3" s="128"/>
    </row>
    <row r="4" spans="1:12">
      <c r="A4" s="88">
        <v>0</v>
      </c>
      <c r="B4" s="88">
        <v>1</v>
      </c>
      <c r="C4" s="88" t="s">
        <v>155</v>
      </c>
      <c r="D4" s="88"/>
      <c r="E4" s="88" t="s">
        <v>156</v>
      </c>
      <c r="F4" s="88" t="s">
        <v>157</v>
      </c>
      <c r="G4" s="88" t="s">
        <v>158</v>
      </c>
      <c r="H4" s="88">
        <v>0</v>
      </c>
      <c r="I4" s="88" t="s">
        <v>159</v>
      </c>
      <c r="J4" s="88" t="s">
        <v>160</v>
      </c>
      <c r="K4" s="95" t="s">
        <v>161</v>
      </c>
      <c r="L4" s="96" t="s">
        <v>162</v>
      </c>
    </row>
    <row r="5" spans="1:12">
      <c r="A5" s="88">
        <f t="shared" ref="A5:A10" si="0">A4+B4</f>
        <v>1</v>
      </c>
      <c r="B5" s="88">
        <v>1</v>
      </c>
      <c r="C5" s="88" t="s">
        <v>155</v>
      </c>
      <c r="D5" s="88"/>
      <c r="E5" s="88" t="s">
        <v>163</v>
      </c>
      <c r="F5" s="88" t="s">
        <v>157</v>
      </c>
      <c r="G5" s="88" t="s">
        <v>158</v>
      </c>
      <c r="H5" s="88">
        <v>15</v>
      </c>
      <c r="I5" s="88" t="s">
        <v>164</v>
      </c>
      <c r="J5" s="88" t="s">
        <v>165</v>
      </c>
      <c r="K5" s="89"/>
      <c r="L5" s="96" t="s">
        <v>166</v>
      </c>
    </row>
    <row r="6" spans="1:12">
      <c r="A6" s="88">
        <f t="shared" si="0"/>
        <v>2</v>
      </c>
      <c r="B6" s="88">
        <v>1</v>
      </c>
      <c r="C6" s="88" t="s">
        <v>155</v>
      </c>
      <c r="D6" s="88"/>
      <c r="E6" s="88" t="s">
        <v>167</v>
      </c>
      <c r="F6" s="88" t="s">
        <v>157</v>
      </c>
      <c r="G6" s="88" t="s">
        <v>158</v>
      </c>
      <c r="H6" s="88">
        <v>10</v>
      </c>
      <c r="I6" s="88" t="s">
        <v>168</v>
      </c>
      <c r="J6" s="88" t="s">
        <v>169</v>
      </c>
      <c r="K6" s="89" t="s">
        <v>170</v>
      </c>
      <c r="L6" s="96"/>
    </row>
    <row r="7" spans="1:12">
      <c r="A7" s="88">
        <f t="shared" si="0"/>
        <v>3</v>
      </c>
      <c r="B7" s="88">
        <v>1</v>
      </c>
      <c r="C7" s="88" t="s">
        <v>155</v>
      </c>
      <c r="D7" s="88"/>
      <c r="E7" s="88" t="s">
        <v>171</v>
      </c>
      <c r="F7" s="88" t="s">
        <v>157</v>
      </c>
      <c r="G7" s="88" t="s">
        <v>158</v>
      </c>
      <c r="H7" s="88">
        <v>5</v>
      </c>
      <c r="I7" s="88" t="s">
        <v>172</v>
      </c>
      <c r="J7" s="88" t="s">
        <v>173</v>
      </c>
      <c r="K7" s="89"/>
      <c r="L7" s="90"/>
    </row>
    <row r="8" spans="1:12">
      <c r="A8" s="88">
        <f t="shared" si="0"/>
        <v>4</v>
      </c>
      <c r="B8" s="88">
        <v>1</v>
      </c>
      <c r="C8" s="88" t="s">
        <v>155</v>
      </c>
      <c r="D8" s="88"/>
      <c r="E8" s="88" t="s">
        <v>174</v>
      </c>
      <c r="F8" s="88" t="s">
        <v>157</v>
      </c>
      <c r="G8" s="88" t="s">
        <v>158</v>
      </c>
      <c r="H8" s="88">
        <v>10</v>
      </c>
      <c r="I8" s="88" t="s">
        <v>168</v>
      </c>
      <c r="J8" s="88" t="s">
        <v>173</v>
      </c>
      <c r="K8" s="89" t="s">
        <v>170</v>
      </c>
      <c r="L8" s="90" t="s">
        <v>175</v>
      </c>
    </row>
    <row r="9" spans="1:12">
      <c r="A9" s="88">
        <f t="shared" si="0"/>
        <v>5</v>
      </c>
      <c r="B9" s="97">
        <v>1</v>
      </c>
      <c r="C9" s="88" t="s">
        <v>155</v>
      </c>
      <c r="D9" s="97"/>
      <c r="E9" s="97" t="s">
        <v>176</v>
      </c>
      <c r="F9" s="88" t="s">
        <v>157</v>
      </c>
      <c r="G9" s="88" t="s">
        <v>177</v>
      </c>
      <c r="H9" s="97">
        <v>0</v>
      </c>
      <c r="I9" s="88" t="s">
        <v>160</v>
      </c>
      <c r="J9" s="88" t="s">
        <v>160</v>
      </c>
      <c r="K9" s="89" t="s">
        <v>365</v>
      </c>
      <c r="L9" s="90" t="s">
        <v>179</v>
      </c>
    </row>
    <row r="10" spans="1:12">
      <c r="A10" s="98">
        <f t="shared" si="0"/>
        <v>6</v>
      </c>
      <c r="B10" s="98">
        <v>10</v>
      </c>
      <c r="C10" s="98" t="s">
        <v>155</v>
      </c>
      <c r="D10" s="98"/>
      <c r="E10" s="98" t="s">
        <v>180</v>
      </c>
      <c r="F10" s="98" t="s">
        <v>160</v>
      </c>
      <c r="G10" s="98" t="s">
        <v>160</v>
      </c>
      <c r="H10" s="98" t="s">
        <v>160</v>
      </c>
      <c r="I10" s="98" t="s">
        <v>160</v>
      </c>
      <c r="J10" s="98" t="s">
        <v>160</v>
      </c>
      <c r="K10" s="99"/>
      <c r="L10" s="100" t="s">
        <v>181</v>
      </c>
    </row>
    <row r="11" spans="1:12">
      <c r="A11" s="127" t="s">
        <v>152</v>
      </c>
      <c r="B11" s="128"/>
      <c r="C11" s="128"/>
      <c r="D11" s="128"/>
      <c r="E11" s="128"/>
      <c r="F11" s="128"/>
      <c r="G11" s="91" t="s">
        <v>182</v>
      </c>
      <c r="H11" s="92">
        <f>A12</f>
        <v>16</v>
      </c>
      <c r="I11" s="93">
        <f>A12+B12-1</f>
        <v>45</v>
      </c>
      <c r="J11" s="94">
        <f>I11-H11+1</f>
        <v>30</v>
      </c>
      <c r="K11" s="129" t="s">
        <v>183</v>
      </c>
      <c r="L11" s="128"/>
    </row>
    <row r="12" spans="1:12">
      <c r="A12" s="101">
        <f>A10+B10</f>
        <v>16</v>
      </c>
      <c r="B12" s="101">
        <v>30</v>
      </c>
      <c r="C12" s="101" t="s">
        <v>180</v>
      </c>
      <c r="D12" s="102"/>
      <c r="E12" s="101" t="s">
        <v>180</v>
      </c>
      <c r="F12" s="101" t="s">
        <v>160</v>
      </c>
      <c r="G12" s="101" t="s">
        <v>160</v>
      </c>
      <c r="H12" s="101" t="s">
        <v>160</v>
      </c>
      <c r="I12" s="101" t="s">
        <v>160</v>
      </c>
      <c r="J12" s="101" t="s">
        <v>160</v>
      </c>
      <c r="K12" s="102"/>
      <c r="L12" s="103" t="s">
        <v>184</v>
      </c>
    </row>
    <row r="13" spans="1:12">
      <c r="A13" s="127" t="s">
        <v>152</v>
      </c>
      <c r="B13" s="128"/>
      <c r="C13" s="128"/>
      <c r="D13" s="128"/>
      <c r="E13" s="128"/>
      <c r="F13" s="128"/>
      <c r="G13" s="91" t="s">
        <v>185</v>
      </c>
      <c r="H13" s="92">
        <f>A14</f>
        <v>46</v>
      </c>
      <c r="I13" s="93">
        <f>A23+B23-1</f>
        <v>61</v>
      </c>
      <c r="J13" s="94">
        <f>I13-H13+1</f>
        <v>16</v>
      </c>
      <c r="K13" s="129" t="s">
        <v>186</v>
      </c>
      <c r="L13" s="128"/>
    </row>
    <row r="14" spans="1:12">
      <c r="A14" s="104">
        <f>A12+B12</f>
        <v>46</v>
      </c>
      <c r="B14" s="104">
        <v>1</v>
      </c>
      <c r="C14" s="104" t="s">
        <v>187</v>
      </c>
      <c r="D14" s="104" t="s">
        <v>188</v>
      </c>
      <c r="E14" s="104" t="s">
        <v>189</v>
      </c>
      <c r="F14" s="104" t="s">
        <v>190</v>
      </c>
      <c r="G14" s="104" t="s">
        <v>158</v>
      </c>
      <c r="H14" s="104">
        <v>0</v>
      </c>
      <c r="I14" s="104" t="s">
        <v>191</v>
      </c>
      <c r="J14" s="104" t="s">
        <v>192</v>
      </c>
      <c r="K14" s="105" t="s">
        <v>193</v>
      </c>
      <c r="L14" s="104" t="s">
        <v>197</v>
      </c>
    </row>
    <row r="15" spans="1:12">
      <c r="A15" s="104">
        <f t="shared" ref="A15:A23" si="1">A14+B14</f>
        <v>47</v>
      </c>
      <c r="B15" s="104">
        <v>1</v>
      </c>
      <c r="C15" s="104" t="s">
        <v>187</v>
      </c>
      <c r="D15" s="104" t="s">
        <v>188</v>
      </c>
      <c r="E15" s="104" t="s">
        <v>195</v>
      </c>
      <c r="F15" s="104" t="s">
        <v>190</v>
      </c>
      <c r="G15" s="104" t="s">
        <v>158</v>
      </c>
      <c r="H15" s="104">
        <v>0</v>
      </c>
      <c r="I15" s="104" t="s">
        <v>191</v>
      </c>
      <c r="J15" s="104" t="s">
        <v>192</v>
      </c>
      <c r="K15" s="105" t="s">
        <v>196</v>
      </c>
      <c r="L15" s="104" t="s">
        <v>366</v>
      </c>
    </row>
    <row r="16" spans="1:12">
      <c r="A16" s="104">
        <f t="shared" si="1"/>
        <v>48</v>
      </c>
      <c r="B16" s="104">
        <v>1</v>
      </c>
      <c r="C16" s="104" t="s">
        <v>187</v>
      </c>
      <c r="D16" s="104" t="s">
        <v>188</v>
      </c>
      <c r="E16" s="104" t="s">
        <v>198</v>
      </c>
      <c r="F16" s="104" t="s">
        <v>190</v>
      </c>
      <c r="G16" s="104" t="s">
        <v>158</v>
      </c>
      <c r="H16" s="104">
        <v>0</v>
      </c>
      <c r="I16" s="104" t="s">
        <v>191</v>
      </c>
      <c r="J16" s="104" t="s">
        <v>192</v>
      </c>
      <c r="K16" s="105" t="s">
        <v>196</v>
      </c>
      <c r="L16" s="88" t="s">
        <v>199</v>
      </c>
    </row>
    <row r="17" spans="1:24">
      <c r="A17" s="104">
        <f t="shared" si="1"/>
        <v>49</v>
      </c>
      <c r="B17" s="104">
        <v>1</v>
      </c>
      <c r="C17" s="104" t="s">
        <v>187</v>
      </c>
      <c r="D17" s="104" t="s">
        <v>188</v>
      </c>
      <c r="E17" s="104" t="s">
        <v>200</v>
      </c>
      <c r="F17" s="104" t="s">
        <v>190</v>
      </c>
      <c r="G17" s="104" t="s">
        <v>158</v>
      </c>
      <c r="H17" s="104">
        <v>0</v>
      </c>
      <c r="I17" s="104" t="s">
        <v>191</v>
      </c>
      <c r="J17" s="104" t="s">
        <v>192</v>
      </c>
      <c r="K17" s="105" t="s">
        <v>196</v>
      </c>
      <c r="L17" s="104" t="s">
        <v>203</v>
      </c>
    </row>
    <row r="18" spans="1:24">
      <c r="A18" s="104">
        <f t="shared" si="1"/>
        <v>50</v>
      </c>
      <c r="B18" s="104">
        <v>4</v>
      </c>
      <c r="C18" s="104" t="s">
        <v>187</v>
      </c>
      <c r="D18" s="104" t="s">
        <v>188</v>
      </c>
      <c r="E18" s="104" t="s">
        <v>367</v>
      </c>
      <c r="F18" s="104" t="s">
        <v>190</v>
      </c>
      <c r="G18" s="104" t="s">
        <v>158</v>
      </c>
      <c r="H18" s="104">
        <v>0</v>
      </c>
      <c r="I18" s="104" t="s">
        <v>191</v>
      </c>
      <c r="J18" s="104" t="s">
        <v>192</v>
      </c>
      <c r="K18" s="105" t="s">
        <v>196</v>
      </c>
      <c r="L18" s="104" t="s">
        <v>205</v>
      </c>
    </row>
    <row r="19" spans="1:24">
      <c r="A19" s="88">
        <f t="shared" si="1"/>
        <v>54</v>
      </c>
      <c r="B19" s="88">
        <v>1</v>
      </c>
      <c r="C19" s="88" t="s">
        <v>206</v>
      </c>
      <c r="D19" s="88"/>
      <c r="E19" s="88" t="s">
        <v>176</v>
      </c>
      <c r="F19" s="104" t="s">
        <v>190</v>
      </c>
      <c r="G19" s="88" t="s">
        <v>177</v>
      </c>
      <c r="H19" s="88">
        <v>0</v>
      </c>
      <c r="I19" s="88" t="s">
        <v>160</v>
      </c>
      <c r="J19" s="88" t="s">
        <v>160</v>
      </c>
      <c r="K19" s="89" t="s">
        <v>365</v>
      </c>
      <c r="L19" s="90" t="s">
        <v>179</v>
      </c>
    </row>
    <row r="20" spans="1:24">
      <c r="A20" s="88">
        <f t="shared" si="1"/>
        <v>55</v>
      </c>
      <c r="B20" s="88">
        <v>1</v>
      </c>
      <c r="C20" s="88" t="s">
        <v>206</v>
      </c>
      <c r="D20" s="88"/>
      <c r="E20" s="88" t="s">
        <v>207</v>
      </c>
      <c r="F20" s="88" t="s">
        <v>190</v>
      </c>
      <c r="G20" s="88" t="s">
        <v>177</v>
      </c>
      <c r="H20" s="88">
        <v>0</v>
      </c>
      <c r="I20" s="88" t="s">
        <v>160</v>
      </c>
      <c r="J20" s="88" t="s">
        <v>160</v>
      </c>
      <c r="K20" s="95" t="s">
        <v>208</v>
      </c>
      <c r="L20" s="90" t="s">
        <v>209</v>
      </c>
    </row>
    <row r="21" spans="1:24">
      <c r="A21" s="88">
        <f t="shared" si="1"/>
        <v>56</v>
      </c>
      <c r="B21" s="88">
        <v>1</v>
      </c>
      <c r="C21" s="88" t="s">
        <v>206</v>
      </c>
      <c r="D21" s="88"/>
      <c r="E21" s="88" t="s">
        <v>210</v>
      </c>
      <c r="F21" s="88" t="s">
        <v>190</v>
      </c>
      <c r="G21" s="88" t="s">
        <v>177</v>
      </c>
      <c r="H21" s="88">
        <v>0</v>
      </c>
      <c r="I21" s="88" t="s">
        <v>160</v>
      </c>
      <c r="J21" s="88" t="s">
        <v>160</v>
      </c>
      <c r="K21" s="95" t="s">
        <v>208</v>
      </c>
      <c r="L21" s="90" t="s">
        <v>211</v>
      </c>
    </row>
    <row r="22" spans="1:24">
      <c r="A22" s="88">
        <f t="shared" si="1"/>
        <v>57</v>
      </c>
      <c r="B22" s="88">
        <v>1</v>
      </c>
      <c r="C22" s="88" t="s">
        <v>206</v>
      </c>
      <c r="D22" s="88"/>
      <c r="E22" s="88" t="s">
        <v>212</v>
      </c>
      <c r="F22" s="88" t="s">
        <v>190</v>
      </c>
      <c r="G22" s="88" t="s">
        <v>158</v>
      </c>
      <c r="H22" s="88">
        <v>0</v>
      </c>
      <c r="I22" s="88" t="s">
        <v>213</v>
      </c>
      <c r="J22" s="88" t="s">
        <v>160</v>
      </c>
      <c r="K22" s="89" t="s">
        <v>214</v>
      </c>
      <c r="L22" s="90" t="s">
        <v>215</v>
      </c>
    </row>
    <row r="23" spans="1:24">
      <c r="A23" s="88">
        <f t="shared" si="1"/>
        <v>58</v>
      </c>
      <c r="B23" s="88">
        <v>4</v>
      </c>
      <c r="C23" s="88" t="s">
        <v>206</v>
      </c>
      <c r="D23" s="88"/>
      <c r="E23" s="88" t="s">
        <v>216</v>
      </c>
      <c r="F23" s="88" t="s">
        <v>190</v>
      </c>
      <c r="G23" s="88" t="s">
        <v>217</v>
      </c>
      <c r="H23" s="88">
        <v>0</v>
      </c>
      <c r="I23" s="88" t="s">
        <v>218</v>
      </c>
      <c r="J23" s="88" t="s">
        <v>165</v>
      </c>
      <c r="K23" s="88" t="s">
        <v>160</v>
      </c>
      <c r="L23" s="90" t="s">
        <v>219</v>
      </c>
    </row>
    <row r="24" spans="1:24">
      <c r="A24" s="127" t="s">
        <v>220</v>
      </c>
      <c r="B24" s="128"/>
      <c r="C24" s="128"/>
      <c r="D24" s="128"/>
      <c r="E24" s="128"/>
      <c r="F24" s="131" t="s">
        <v>368</v>
      </c>
      <c r="G24" s="128"/>
      <c r="H24" s="92">
        <f>A25</f>
        <v>62</v>
      </c>
      <c r="I24" s="93">
        <f>A27+B27-1</f>
        <v>64</v>
      </c>
      <c r="J24" s="94">
        <f>I24-H24+1</f>
        <v>3</v>
      </c>
      <c r="K24" s="129" t="s">
        <v>369</v>
      </c>
      <c r="L24" s="128"/>
    </row>
    <row r="25" spans="1:24">
      <c r="A25" s="88">
        <f>A23+B23</f>
        <v>62</v>
      </c>
      <c r="B25" s="88">
        <v>1</v>
      </c>
      <c r="C25" s="88" t="s">
        <v>223</v>
      </c>
      <c r="D25" s="88" t="s">
        <v>370</v>
      </c>
      <c r="E25" s="88" t="s">
        <v>371</v>
      </c>
      <c r="F25" s="88" t="s">
        <v>190</v>
      </c>
      <c r="G25" s="88" t="s">
        <v>177</v>
      </c>
      <c r="H25" s="88">
        <v>0</v>
      </c>
      <c r="I25" s="88" t="s">
        <v>315</v>
      </c>
      <c r="J25" s="88" t="s">
        <v>372</v>
      </c>
      <c r="K25" s="89"/>
      <c r="L25" s="90"/>
    </row>
    <row r="26" spans="1:24">
      <c r="A26" s="88">
        <f t="shared" ref="A26" si="2">A25+B25</f>
        <v>63</v>
      </c>
      <c r="B26" s="88">
        <v>1</v>
      </c>
      <c r="C26" s="88" t="s">
        <v>223</v>
      </c>
      <c r="D26" s="88" t="s">
        <v>370</v>
      </c>
      <c r="E26" s="88" t="s">
        <v>373</v>
      </c>
      <c r="F26" s="88" t="s">
        <v>190</v>
      </c>
      <c r="G26" s="88" t="s">
        <v>177</v>
      </c>
      <c r="H26" s="88">
        <v>0</v>
      </c>
      <c r="I26" s="88">
        <v>15</v>
      </c>
      <c r="J26" s="88" t="s">
        <v>374</v>
      </c>
      <c r="K26" s="89"/>
      <c r="L26" s="90"/>
    </row>
    <row r="27" spans="1:24">
      <c r="A27" s="106">
        <f>A26+B26</f>
        <v>64</v>
      </c>
      <c r="B27" s="106">
        <v>1</v>
      </c>
      <c r="C27" s="106" t="s">
        <v>375</v>
      </c>
      <c r="D27" s="106" t="s">
        <v>370</v>
      </c>
      <c r="E27" s="106" t="s">
        <v>249</v>
      </c>
      <c r="F27" s="106" t="s">
        <v>190</v>
      </c>
      <c r="G27" s="106" t="s">
        <v>177</v>
      </c>
      <c r="H27" s="106">
        <v>0</v>
      </c>
      <c r="I27" s="106" t="s">
        <v>160</v>
      </c>
      <c r="J27" s="106" t="s">
        <v>160</v>
      </c>
      <c r="K27" s="106" t="s">
        <v>160</v>
      </c>
      <c r="L27" s="106" t="s">
        <v>160</v>
      </c>
    </row>
    <row r="28" spans="1:24">
      <c r="A28" s="127" t="s">
        <v>220</v>
      </c>
      <c r="B28" s="127"/>
      <c r="C28" s="127"/>
      <c r="D28" s="127"/>
      <c r="E28" s="127"/>
      <c r="F28" s="131" t="s">
        <v>437</v>
      </c>
      <c r="G28" s="131"/>
      <c r="H28" s="92">
        <f>A29</f>
        <v>65</v>
      </c>
      <c r="I28" s="93">
        <f>A29+B29-1</f>
        <v>65</v>
      </c>
      <c r="J28" s="94">
        <f>I28-H28+1</f>
        <v>1</v>
      </c>
      <c r="K28" s="129" t="s">
        <v>438</v>
      </c>
      <c r="L28" s="129"/>
    </row>
    <row r="29" spans="1:24">
      <c r="A29" s="106">
        <f>A27+B27</f>
        <v>65</v>
      </c>
      <c r="B29" s="106">
        <v>1</v>
      </c>
      <c r="C29" s="106" t="s">
        <v>269</v>
      </c>
      <c r="D29" s="106"/>
      <c r="E29" s="106" t="s">
        <v>249</v>
      </c>
      <c r="F29" s="106" t="s">
        <v>190</v>
      </c>
      <c r="G29" s="106" t="s">
        <v>177</v>
      </c>
      <c r="H29" s="106">
        <v>0</v>
      </c>
      <c r="I29" s="106" t="s">
        <v>160</v>
      </c>
      <c r="J29" s="106"/>
      <c r="K29" s="107"/>
      <c r="L29" s="108"/>
    </row>
    <row r="30" spans="1:24">
      <c r="A30" s="127" t="s">
        <v>220</v>
      </c>
      <c r="B30" s="128"/>
      <c r="C30" s="128"/>
      <c r="D30" s="128"/>
      <c r="E30" s="128"/>
      <c r="F30" s="131" t="s">
        <v>376</v>
      </c>
      <c r="G30" s="128"/>
      <c r="H30" s="92">
        <f>A31</f>
        <v>66</v>
      </c>
      <c r="I30" s="93">
        <f>A38+B38-1</f>
        <v>73</v>
      </c>
      <c r="J30" s="94">
        <f>I30-H30+1</f>
        <v>8</v>
      </c>
      <c r="K30" s="129" t="s">
        <v>377</v>
      </c>
      <c r="L30" s="128"/>
    </row>
    <row r="31" spans="1:24">
      <c r="A31" s="88">
        <f>A29+B29</f>
        <v>66</v>
      </c>
      <c r="B31" s="88">
        <v>1</v>
      </c>
      <c r="C31" s="88" t="s">
        <v>223</v>
      </c>
      <c r="D31" s="88" t="s">
        <v>378</v>
      </c>
      <c r="E31" s="88" t="s">
        <v>373</v>
      </c>
      <c r="F31" s="88" t="s">
        <v>190</v>
      </c>
      <c r="G31" s="88" t="s">
        <v>177</v>
      </c>
      <c r="H31" s="88">
        <v>0</v>
      </c>
      <c r="I31" s="88" t="s">
        <v>315</v>
      </c>
      <c r="J31" s="88" t="s">
        <v>374</v>
      </c>
      <c r="K31" s="89"/>
      <c r="L31" s="90"/>
    </row>
    <row r="32" spans="1:24">
      <c r="A32" s="88">
        <f t="shared" ref="A32:A38" si="3">A31+B31</f>
        <v>67</v>
      </c>
      <c r="B32" s="88">
        <v>1</v>
      </c>
      <c r="C32" s="88" t="s">
        <v>223</v>
      </c>
      <c r="D32" s="88" t="s">
        <v>378</v>
      </c>
      <c r="E32" s="88" t="s">
        <v>379</v>
      </c>
      <c r="F32" s="88" t="s">
        <v>190</v>
      </c>
      <c r="G32" s="88" t="s">
        <v>158</v>
      </c>
      <c r="H32" s="88">
        <v>0</v>
      </c>
      <c r="I32" s="88" t="s">
        <v>159</v>
      </c>
      <c r="J32" s="88"/>
      <c r="K32" s="95" t="s">
        <v>380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95"/>
      <c r="X32" s="88"/>
    </row>
    <row r="33" spans="1:12">
      <c r="A33" s="88">
        <f t="shared" si="3"/>
        <v>68</v>
      </c>
      <c r="B33" s="88">
        <v>1</v>
      </c>
      <c r="C33" s="88" t="s">
        <v>223</v>
      </c>
      <c r="D33" s="88" t="s">
        <v>378</v>
      </c>
      <c r="E33" s="88" t="s">
        <v>381</v>
      </c>
      <c r="F33" s="88" t="s">
        <v>190</v>
      </c>
      <c r="G33" s="88" t="s">
        <v>158</v>
      </c>
      <c r="H33" s="88">
        <v>0</v>
      </c>
      <c r="I33" s="88" t="s">
        <v>159</v>
      </c>
      <c r="J33" s="88"/>
      <c r="K33" s="95" t="s">
        <v>380</v>
      </c>
      <c r="L33" s="88"/>
    </row>
    <row r="34" spans="1:12">
      <c r="A34" s="88">
        <f t="shared" si="3"/>
        <v>69</v>
      </c>
      <c r="B34" s="88">
        <v>1</v>
      </c>
      <c r="C34" s="88" t="s">
        <v>223</v>
      </c>
      <c r="D34" s="88" t="s">
        <v>378</v>
      </c>
      <c r="E34" s="88" t="s">
        <v>382</v>
      </c>
      <c r="F34" s="88" t="s">
        <v>190</v>
      </c>
      <c r="G34" s="88" t="s">
        <v>158</v>
      </c>
      <c r="H34" s="88">
        <v>0</v>
      </c>
      <c r="I34" s="88" t="s">
        <v>383</v>
      </c>
      <c r="J34" s="88"/>
      <c r="K34" s="95" t="s">
        <v>384</v>
      </c>
      <c r="L34" s="88"/>
    </row>
    <row r="35" spans="1:12">
      <c r="A35" s="88">
        <f t="shared" si="3"/>
        <v>70</v>
      </c>
      <c r="B35" s="88">
        <v>1</v>
      </c>
      <c r="C35" s="88" t="s">
        <v>223</v>
      </c>
      <c r="D35" s="88" t="s">
        <v>378</v>
      </c>
      <c r="E35" s="88" t="s">
        <v>385</v>
      </c>
      <c r="F35" s="88" t="s">
        <v>190</v>
      </c>
      <c r="G35" s="88" t="s">
        <v>158</v>
      </c>
      <c r="H35" s="88">
        <v>0</v>
      </c>
      <c r="I35" s="88" t="s">
        <v>383</v>
      </c>
      <c r="J35" s="88"/>
      <c r="K35" s="95" t="s">
        <v>384</v>
      </c>
      <c r="L35" s="88"/>
    </row>
    <row r="36" spans="1:12">
      <c r="A36" s="88">
        <f t="shared" si="3"/>
        <v>71</v>
      </c>
      <c r="B36" s="88">
        <v>1</v>
      </c>
      <c r="C36" s="88" t="s">
        <v>223</v>
      </c>
      <c r="D36" s="88" t="s">
        <v>378</v>
      </c>
      <c r="E36" s="88" t="s">
        <v>386</v>
      </c>
      <c r="F36" s="88" t="s">
        <v>190</v>
      </c>
      <c r="G36" s="88" t="s">
        <v>158</v>
      </c>
      <c r="H36" s="88">
        <v>0</v>
      </c>
      <c r="I36" s="88" t="s">
        <v>383</v>
      </c>
      <c r="J36" s="88"/>
      <c r="K36" s="95" t="s">
        <v>384</v>
      </c>
      <c r="L36" s="88"/>
    </row>
    <row r="37" spans="1:12">
      <c r="A37" s="88">
        <f t="shared" si="3"/>
        <v>72</v>
      </c>
      <c r="B37" s="88">
        <v>1</v>
      </c>
      <c r="C37" s="88" t="s">
        <v>223</v>
      </c>
      <c r="D37" s="88" t="s">
        <v>378</v>
      </c>
      <c r="E37" s="88" t="s">
        <v>387</v>
      </c>
      <c r="F37" s="88" t="s">
        <v>190</v>
      </c>
      <c r="G37" s="88" t="s">
        <v>158</v>
      </c>
      <c r="H37" s="88">
        <v>0</v>
      </c>
      <c r="I37" s="88" t="s">
        <v>383</v>
      </c>
      <c r="J37" s="88"/>
      <c r="K37" s="95" t="s">
        <v>384</v>
      </c>
      <c r="L37" s="88"/>
    </row>
    <row r="38" spans="1:12">
      <c r="A38" s="106">
        <f t="shared" si="3"/>
        <v>73</v>
      </c>
      <c r="B38" s="106">
        <v>1</v>
      </c>
      <c r="C38" s="106" t="s">
        <v>388</v>
      </c>
      <c r="D38" s="106" t="s">
        <v>389</v>
      </c>
      <c r="E38" s="106" t="s">
        <v>249</v>
      </c>
      <c r="F38" s="106" t="s">
        <v>190</v>
      </c>
      <c r="G38" s="106" t="s">
        <v>177</v>
      </c>
      <c r="H38" s="106">
        <v>0</v>
      </c>
      <c r="I38" s="106" t="s">
        <v>160</v>
      </c>
      <c r="J38" s="106" t="s">
        <v>160</v>
      </c>
      <c r="K38" s="106" t="s">
        <v>160</v>
      </c>
      <c r="L38" s="106" t="s">
        <v>160</v>
      </c>
    </row>
    <row r="39" spans="1:12">
      <c r="A39" s="127" t="s">
        <v>220</v>
      </c>
      <c r="B39" s="128"/>
      <c r="C39" s="128"/>
      <c r="D39" s="128"/>
      <c r="E39" s="128"/>
      <c r="F39" s="131" t="s">
        <v>273</v>
      </c>
      <c r="G39" s="128"/>
      <c r="H39" s="92">
        <f>A40</f>
        <v>74</v>
      </c>
      <c r="I39" s="93">
        <f>A55+B55-1</f>
        <v>101</v>
      </c>
      <c r="J39" s="94">
        <f>I39-H39+1</f>
        <v>28</v>
      </c>
      <c r="K39" s="129" t="s">
        <v>274</v>
      </c>
      <c r="L39" s="128"/>
    </row>
    <row r="40" spans="1:12">
      <c r="A40" s="88">
        <f>A38+B38</f>
        <v>74</v>
      </c>
      <c r="B40" s="88">
        <v>2</v>
      </c>
      <c r="C40" s="88" t="s">
        <v>275</v>
      </c>
      <c r="D40" s="88" t="s">
        <v>276</v>
      </c>
      <c r="E40" s="88" t="s">
        <v>390</v>
      </c>
      <c r="F40" s="88" t="s">
        <v>190</v>
      </c>
      <c r="G40" s="88" t="s">
        <v>226</v>
      </c>
      <c r="H40" s="88">
        <v>0</v>
      </c>
      <c r="I40" s="88" t="s">
        <v>160</v>
      </c>
      <c r="J40" s="88" t="s">
        <v>391</v>
      </c>
      <c r="K40" s="89"/>
      <c r="L40" s="88" t="s">
        <v>392</v>
      </c>
    </row>
    <row r="41" spans="1:12">
      <c r="A41" s="88">
        <f t="shared" ref="A41:A55" si="4">A40+B40</f>
        <v>76</v>
      </c>
      <c r="B41" s="88">
        <v>2</v>
      </c>
      <c r="C41" s="88" t="s">
        <v>275</v>
      </c>
      <c r="D41" s="88" t="s">
        <v>276</v>
      </c>
      <c r="E41" s="88" t="s">
        <v>393</v>
      </c>
      <c r="F41" s="88" t="s">
        <v>190</v>
      </c>
      <c r="G41" s="88" t="s">
        <v>226</v>
      </c>
      <c r="H41" s="88">
        <v>0</v>
      </c>
      <c r="I41" s="88" t="s">
        <v>160</v>
      </c>
      <c r="J41" s="88" t="s">
        <v>391</v>
      </c>
      <c r="K41" s="89"/>
      <c r="L41" s="88" t="s">
        <v>394</v>
      </c>
    </row>
    <row r="42" spans="1:12">
      <c r="A42" s="88">
        <f t="shared" si="4"/>
        <v>78</v>
      </c>
      <c r="B42" s="88">
        <v>2</v>
      </c>
      <c r="C42" s="88" t="s">
        <v>275</v>
      </c>
      <c r="D42" s="88" t="s">
        <v>276</v>
      </c>
      <c r="E42" s="88" t="s">
        <v>395</v>
      </c>
      <c r="F42" s="88" t="s">
        <v>190</v>
      </c>
      <c r="G42" s="88" t="s">
        <v>226</v>
      </c>
      <c r="H42" s="88">
        <v>0</v>
      </c>
      <c r="I42" s="88" t="s">
        <v>160</v>
      </c>
      <c r="J42" s="88" t="s">
        <v>391</v>
      </c>
      <c r="K42" s="89"/>
      <c r="L42" s="88" t="s">
        <v>396</v>
      </c>
    </row>
    <row r="43" spans="1:12">
      <c r="A43" s="88">
        <f t="shared" si="4"/>
        <v>80</v>
      </c>
      <c r="B43" s="88">
        <v>2</v>
      </c>
      <c r="C43" s="88" t="s">
        <v>275</v>
      </c>
      <c r="D43" s="88" t="s">
        <v>276</v>
      </c>
      <c r="E43" s="88" t="s">
        <v>397</v>
      </c>
      <c r="F43" s="88" t="s">
        <v>190</v>
      </c>
      <c r="G43" s="88" t="s">
        <v>226</v>
      </c>
      <c r="H43" s="88">
        <v>0</v>
      </c>
      <c r="I43" s="88" t="s">
        <v>160</v>
      </c>
      <c r="J43" s="88" t="s">
        <v>398</v>
      </c>
      <c r="K43" s="89"/>
      <c r="L43" s="88" t="s">
        <v>392</v>
      </c>
    </row>
    <row r="44" spans="1:12">
      <c r="A44" s="88">
        <f t="shared" si="4"/>
        <v>82</v>
      </c>
      <c r="B44" s="88">
        <v>2</v>
      </c>
      <c r="C44" s="88" t="s">
        <v>275</v>
      </c>
      <c r="D44" s="88" t="s">
        <v>276</v>
      </c>
      <c r="E44" s="88" t="s">
        <v>399</v>
      </c>
      <c r="F44" s="88" t="s">
        <v>190</v>
      </c>
      <c r="G44" s="88" t="s">
        <v>226</v>
      </c>
      <c r="H44" s="88">
        <v>0</v>
      </c>
      <c r="I44" s="88" t="s">
        <v>160</v>
      </c>
      <c r="J44" s="88" t="s">
        <v>398</v>
      </c>
      <c r="K44" s="89"/>
      <c r="L44" s="88"/>
    </row>
    <row r="45" spans="1:12">
      <c r="A45" s="88">
        <f t="shared" si="4"/>
        <v>84</v>
      </c>
      <c r="B45" s="88">
        <v>2</v>
      </c>
      <c r="C45" s="88" t="s">
        <v>275</v>
      </c>
      <c r="D45" s="88" t="s">
        <v>276</v>
      </c>
      <c r="E45" s="88" t="s">
        <v>400</v>
      </c>
      <c r="F45" s="88" t="s">
        <v>190</v>
      </c>
      <c r="G45" s="88" t="s">
        <v>226</v>
      </c>
      <c r="H45" s="88">
        <v>0</v>
      </c>
      <c r="I45" s="88" t="s">
        <v>160</v>
      </c>
      <c r="J45" s="88" t="s">
        <v>398</v>
      </c>
      <c r="K45" s="89"/>
      <c r="L45" s="88"/>
    </row>
    <row r="46" spans="1:12">
      <c r="A46" s="88">
        <f t="shared" si="4"/>
        <v>86</v>
      </c>
      <c r="B46" s="88">
        <v>2</v>
      </c>
      <c r="C46" s="88" t="s">
        <v>275</v>
      </c>
      <c r="D46" s="88" t="s">
        <v>276</v>
      </c>
      <c r="E46" s="88" t="s">
        <v>401</v>
      </c>
      <c r="F46" s="88" t="s">
        <v>190</v>
      </c>
      <c r="G46" s="88" t="s">
        <v>226</v>
      </c>
      <c r="H46" s="88">
        <v>0</v>
      </c>
      <c r="I46" s="88" t="s">
        <v>160</v>
      </c>
      <c r="J46" s="88" t="s">
        <v>402</v>
      </c>
      <c r="K46" s="89"/>
      <c r="L46" s="88" t="s">
        <v>392</v>
      </c>
    </row>
    <row r="47" spans="1:12">
      <c r="A47" s="88">
        <f t="shared" si="4"/>
        <v>88</v>
      </c>
      <c r="B47" s="88">
        <v>2</v>
      </c>
      <c r="C47" s="88" t="s">
        <v>275</v>
      </c>
      <c r="D47" s="88" t="s">
        <v>276</v>
      </c>
      <c r="E47" s="88" t="s">
        <v>403</v>
      </c>
      <c r="F47" s="88" t="s">
        <v>190</v>
      </c>
      <c r="G47" s="88" t="s">
        <v>226</v>
      </c>
      <c r="H47" s="88">
        <v>0</v>
      </c>
      <c r="I47" s="88" t="s">
        <v>160</v>
      </c>
      <c r="J47" s="88" t="s">
        <v>402</v>
      </c>
      <c r="K47" s="89"/>
      <c r="L47" s="88"/>
    </row>
    <row r="48" spans="1:12">
      <c r="A48" s="88">
        <f t="shared" si="4"/>
        <v>90</v>
      </c>
      <c r="B48" s="88">
        <v>2</v>
      </c>
      <c r="C48" s="88" t="s">
        <v>275</v>
      </c>
      <c r="D48" s="88" t="s">
        <v>276</v>
      </c>
      <c r="E48" s="88" t="s">
        <v>404</v>
      </c>
      <c r="F48" s="88" t="s">
        <v>190</v>
      </c>
      <c r="G48" s="88" t="s">
        <v>226</v>
      </c>
      <c r="H48" s="88">
        <v>0</v>
      </c>
      <c r="I48" s="88" t="s">
        <v>160</v>
      </c>
      <c r="J48" s="88" t="s">
        <v>402</v>
      </c>
      <c r="K48" s="89"/>
      <c r="L48" s="88"/>
    </row>
    <row r="49" spans="1:12">
      <c r="A49" s="88">
        <f t="shared" si="4"/>
        <v>92</v>
      </c>
      <c r="B49" s="88">
        <v>2</v>
      </c>
      <c r="C49" s="88" t="s">
        <v>275</v>
      </c>
      <c r="D49" s="88" t="s">
        <v>276</v>
      </c>
      <c r="E49" s="88" t="s">
        <v>405</v>
      </c>
      <c r="F49" s="88" t="s">
        <v>190</v>
      </c>
      <c r="G49" s="88" t="s">
        <v>226</v>
      </c>
      <c r="H49" s="88">
        <v>0</v>
      </c>
      <c r="I49" s="88" t="s">
        <v>160</v>
      </c>
      <c r="J49" s="88" t="s">
        <v>300</v>
      </c>
      <c r="K49" s="89"/>
      <c r="L49" s="88" t="s">
        <v>392</v>
      </c>
    </row>
    <row r="50" spans="1:12">
      <c r="A50" s="88">
        <f t="shared" si="4"/>
        <v>94</v>
      </c>
      <c r="B50" s="88">
        <v>2</v>
      </c>
      <c r="C50" s="88" t="s">
        <v>275</v>
      </c>
      <c r="D50" s="88" t="s">
        <v>276</v>
      </c>
      <c r="E50" s="88" t="s">
        <v>406</v>
      </c>
      <c r="F50" s="88" t="s">
        <v>190</v>
      </c>
      <c r="G50" s="88" t="s">
        <v>226</v>
      </c>
      <c r="H50" s="88">
        <v>0</v>
      </c>
      <c r="I50" s="88" t="s">
        <v>160</v>
      </c>
      <c r="J50" s="88" t="s">
        <v>300</v>
      </c>
      <c r="K50" s="89"/>
      <c r="L50" s="88"/>
    </row>
    <row r="51" spans="1:12">
      <c r="A51" s="88">
        <f t="shared" si="4"/>
        <v>96</v>
      </c>
      <c r="B51" s="88">
        <v>2</v>
      </c>
      <c r="C51" s="88" t="s">
        <v>275</v>
      </c>
      <c r="D51" s="88" t="s">
        <v>276</v>
      </c>
      <c r="E51" s="88" t="s">
        <v>407</v>
      </c>
      <c r="F51" s="88" t="s">
        <v>190</v>
      </c>
      <c r="G51" s="88" t="s">
        <v>226</v>
      </c>
      <c r="H51" s="88">
        <v>0</v>
      </c>
      <c r="I51" s="88" t="s">
        <v>160</v>
      </c>
      <c r="J51" s="88" t="s">
        <v>300</v>
      </c>
      <c r="K51" s="89"/>
      <c r="L51" s="88"/>
    </row>
    <row r="52" spans="1:12">
      <c r="A52" s="88">
        <f t="shared" si="4"/>
        <v>98</v>
      </c>
      <c r="B52" s="88">
        <v>1</v>
      </c>
      <c r="C52" s="88" t="s">
        <v>275</v>
      </c>
      <c r="D52" s="88" t="s">
        <v>276</v>
      </c>
      <c r="E52" s="88" t="s">
        <v>408</v>
      </c>
      <c r="F52" s="88" t="s">
        <v>190</v>
      </c>
      <c r="G52" s="88" t="s">
        <v>298</v>
      </c>
      <c r="H52" s="88">
        <v>0</v>
      </c>
      <c r="I52" s="88" t="s">
        <v>160</v>
      </c>
      <c r="J52" s="88"/>
      <c r="K52" s="89"/>
      <c r="L52" s="88" t="s">
        <v>392</v>
      </c>
    </row>
    <row r="53" spans="1:12">
      <c r="A53" s="88">
        <f t="shared" si="4"/>
        <v>99</v>
      </c>
      <c r="B53" s="88">
        <v>1</v>
      </c>
      <c r="C53" s="88" t="s">
        <v>275</v>
      </c>
      <c r="D53" s="88" t="s">
        <v>276</v>
      </c>
      <c r="E53" s="88" t="s">
        <v>409</v>
      </c>
      <c r="F53" s="88" t="s">
        <v>190</v>
      </c>
      <c r="G53" s="88" t="s">
        <v>298</v>
      </c>
      <c r="H53" s="88">
        <v>0</v>
      </c>
      <c r="I53" s="88" t="s">
        <v>160</v>
      </c>
      <c r="J53" s="88"/>
      <c r="K53" s="89"/>
      <c r="L53" s="88"/>
    </row>
    <row r="54" spans="1:12">
      <c r="A54" s="88">
        <f t="shared" si="4"/>
        <v>100</v>
      </c>
      <c r="B54" s="88">
        <v>1</v>
      </c>
      <c r="C54" s="88" t="s">
        <v>275</v>
      </c>
      <c r="D54" s="88" t="s">
        <v>276</v>
      </c>
      <c r="E54" s="88" t="s">
        <v>410</v>
      </c>
      <c r="F54" s="88" t="s">
        <v>190</v>
      </c>
      <c r="G54" s="88" t="s">
        <v>298</v>
      </c>
      <c r="H54" s="88">
        <v>0</v>
      </c>
      <c r="I54" s="88" t="s">
        <v>160</v>
      </c>
      <c r="J54" s="88"/>
      <c r="K54" s="89"/>
      <c r="L54" s="88"/>
    </row>
    <row r="55" spans="1:12">
      <c r="A55" s="106">
        <f t="shared" si="4"/>
        <v>101</v>
      </c>
      <c r="B55" s="106">
        <v>1</v>
      </c>
      <c r="C55" s="106" t="s">
        <v>411</v>
      </c>
      <c r="D55" s="106" t="s">
        <v>276</v>
      </c>
      <c r="E55" s="106" t="s">
        <v>249</v>
      </c>
      <c r="F55" s="106" t="s">
        <v>190</v>
      </c>
      <c r="G55" s="106" t="s">
        <v>177</v>
      </c>
      <c r="H55" s="106">
        <v>0</v>
      </c>
      <c r="I55" s="106" t="s">
        <v>160</v>
      </c>
      <c r="J55" s="106" t="s">
        <v>160</v>
      </c>
      <c r="K55" s="106" t="s">
        <v>160</v>
      </c>
      <c r="L55" s="106" t="s">
        <v>160</v>
      </c>
    </row>
    <row r="56" spans="1:12">
      <c r="A56" s="130" t="s">
        <v>152</v>
      </c>
      <c r="B56" s="128"/>
      <c r="C56" s="128"/>
      <c r="D56" s="128"/>
      <c r="E56" s="128"/>
      <c r="F56" s="128"/>
      <c r="G56" s="120" t="s">
        <v>182</v>
      </c>
      <c r="H56" s="121">
        <f>A57</f>
        <v>102</v>
      </c>
      <c r="I56" s="122">
        <f>A57+B57-1</f>
        <v>119</v>
      </c>
      <c r="J56" s="123">
        <f>I56-H56+1</f>
        <v>18</v>
      </c>
      <c r="K56" s="132" t="s">
        <v>183</v>
      </c>
      <c r="L56" s="128"/>
    </row>
    <row r="57" spans="1:12">
      <c r="A57" s="101">
        <f>A55+B55</f>
        <v>102</v>
      </c>
      <c r="B57" s="101">
        <v>18</v>
      </c>
      <c r="C57" s="101" t="s">
        <v>180</v>
      </c>
      <c r="D57" s="102"/>
      <c r="E57" s="101" t="s">
        <v>180</v>
      </c>
      <c r="F57" s="101" t="s">
        <v>160</v>
      </c>
      <c r="G57" s="101" t="s">
        <v>160</v>
      </c>
      <c r="H57" s="124" t="s">
        <v>160</v>
      </c>
      <c r="I57" s="125" t="s">
        <v>160</v>
      </c>
      <c r="J57" s="126" t="s">
        <v>160</v>
      </c>
      <c r="K57" s="102"/>
      <c r="L57" s="103" t="s">
        <v>184</v>
      </c>
    </row>
    <row r="58" spans="1:12">
      <c r="A58" s="127" t="s">
        <v>220</v>
      </c>
      <c r="B58" s="128"/>
      <c r="C58" s="128"/>
      <c r="D58" s="128"/>
      <c r="E58" s="128"/>
      <c r="F58" s="131" t="s">
        <v>412</v>
      </c>
      <c r="G58" s="128"/>
      <c r="H58" s="92">
        <f>A59</f>
        <v>120</v>
      </c>
      <c r="I58" s="93">
        <f>A60+B60-1</f>
        <v>121</v>
      </c>
      <c r="J58" s="94">
        <f>I58-H58+1</f>
        <v>2</v>
      </c>
      <c r="K58" s="129" t="s">
        <v>413</v>
      </c>
      <c r="L58" s="128"/>
    </row>
    <row r="59" spans="1:12">
      <c r="A59" s="113">
        <f>A57+B57</f>
        <v>120</v>
      </c>
      <c r="B59" s="88">
        <v>1</v>
      </c>
      <c r="C59" s="88" t="s">
        <v>414</v>
      </c>
      <c r="D59" s="88" t="s">
        <v>188</v>
      </c>
      <c r="E59" s="88" t="s">
        <v>415</v>
      </c>
      <c r="F59" s="88" t="s">
        <v>157</v>
      </c>
      <c r="G59" s="88" t="s">
        <v>158</v>
      </c>
      <c r="H59" s="88">
        <v>0</v>
      </c>
      <c r="I59" s="88" t="s">
        <v>159</v>
      </c>
      <c r="J59" s="88"/>
      <c r="K59" s="109"/>
      <c r="L59" s="88"/>
    </row>
    <row r="60" spans="1:12">
      <c r="A60" s="88">
        <f>A59+B59</f>
        <v>121</v>
      </c>
      <c r="B60" s="88">
        <v>1</v>
      </c>
      <c r="C60" s="88" t="s">
        <v>414</v>
      </c>
      <c r="D60" s="88" t="s">
        <v>188</v>
      </c>
      <c r="E60" s="88" t="s">
        <v>416</v>
      </c>
      <c r="F60" s="88" t="s">
        <v>157</v>
      </c>
      <c r="G60" s="88" t="s">
        <v>158</v>
      </c>
      <c r="H60" s="88">
        <v>0</v>
      </c>
      <c r="I60" s="88" t="s">
        <v>159</v>
      </c>
      <c r="J60" s="88"/>
      <c r="K60" s="109"/>
      <c r="L60" s="88"/>
    </row>
    <row r="61" spans="1:12">
      <c r="A61" s="127" t="s">
        <v>220</v>
      </c>
      <c r="B61" s="128"/>
      <c r="C61" s="128"/>
      <c r="D61" s="128"/>
      <c r="E61" s="128"/>
      <c r="F61" s="131" t="s">
        <v>417</v>
      </c>
      <c r="G61" s="128"/>
      <c r="H61" s="92">
        <f>A62</f>
        <v>122</v>
      </c>
      <c r="I61" s="93">
        <f>A67+B67-1</f>
        <v>127</v>
      </c>
      <c r="J61" s="94">
        <f>I61-H61+1</f>
        <v>6</v>
      </c>
      <c r="K61" s="129" t="s">
        <v>418</v>
      </c>
      <c r="L61" s="128"/>
    </row>
    <row r="62" spans="1:12">
      <c r="A62" s="113">
        <f>A60+B60</f>
        <v>122</v>
      </c>
      <c r="B62" s="113">
        <v>1</v>
      </c>
      <c r="C62" s="113" t="s">
        <v>414</v>
      </c>
      <c r="D62" s="113" t="s">
        <v>188</v>
      </c>
      <c r="E62" s="113" t="s">
        <v>415</v>
      </c>
      <c r="F62" s="113" t="s">
        <v>157</v>
      </c>
      <c r="G62" s="113" t="s">
        <v>158</v>
      </c>
      <c r="H62" s="113">
        <v>0</v>
      </c>
      <c r="I62" s="113" t="s">
        <v>159</v>
      </c>
      <c r="J62" s="88"/>
      <c r="K62" s="95" t="s">
        <v>380</v>
      </c>
      <c r="L62" s="115"/>
    </row>
    <row r="63" spans="1:12">
      <c r="A63" s="88">
        <f t="shared" ref="A63:A67" si="5">A62+B62</f>
        <v>123</v>
      </c>
      <c r="B63" s="88">
        <v>1</v>
      </c>
      <c r="C63" s="88" t="s">
        <v>414</v>
      </c>
      <c r="D63" s="88" t="s">
        <v>188</v>
      </c>
      <c r="E63" s="88" t="s">
        <v>416</v>
      </c>
      <c r="F63" s="88" t="s">
        <v>157</v>
      </c>
      <c r="G63" s="88" t="s">
        <v>158</v>
      </c>
      <c r="H63" s="88">
        <v>0</v>
      </c>
      <c r="I63" s="88" t="s">
        <v>159</v>
      </c>
      <c r="J63" s="17"/>
      <c r="K63" s="95" t="s">
        <v>380</v>
      </c>
      <c r="L63" s="90"/>
    </row>
    <row r="64" spans="1:12">
      <c r="A64" s="88">
        <f t="shared" si="5"/>
        <v>124</v>
      </c>
      <c r="B64" s="88">
        <v>1</v>
      </c>
      <c r="C64" s="88" t="s">
        <v>414</v>
      </c>
      <c r="D64" s="88" t="s">
        <v>188</v>
      </c>
      <c r="E64" s="88" t="s">
        <v>419</v>
      </c>
      <c r="F64" s="88" t="s">
        <v>157</v>
      </c>
      <c r="G64" s="88" t="s">
        <v>158</v>
      </c>
      <c r="H64" s="88">
        <v>0</v>
      </c>
      <c r="I64" s="88" t="s">
        <v>159</v>
      </c>
      <c r="J64" s="88"/>
      <c r="K64" s="95" t="s">
        <v>380</v>
      </c>
      <c r="L64" s="90"/>
    </row>
    <row r="65" spans="1:12">
      <c r="A65" s="88">
        <f t="shared" si="5"/>
        <v>125</v>
      </c>
      <c r="B65" s="88">
        <v>1</v>
      </c>
      <c r="C65" s="88" t="s">
        <v>414</v>
      </c>
      <c r="D65" s="88" t="s">
        <v>188</v>
      </c>
      <c r="E65" s="88" t="s">
        <v>420</v>
      </c>
      <c r="F65" s="88" t="s">
        <v>157</v>
      </c>
      <c r="G65" s="88" t="s">
        <v>158</v>
      </c>
      <c r="H65" s="88">
        <v>0</v>
      </c>
      <c r="I65" s="88" t="s">
        <v>383</v>
      </c>
      <c r="J65" s="88"/>
      <c r="K65" s="95" t="s">
        <v>421</v>
      </c>
      <c r="L65" s="88"/>
    </row>
    <row r="66" spans="1:12">
      <c r="A66" s="88">
        <f t="shared" si="5"/>
        <v>126</v>
      </c>
      <c r="B66" s="88">
        <v>1</v>
      </c>
      <c r="C66" s="88" t="s">
        <v>422</v>
      </c>
      <c r="D66" s="88" t="s">
        <v>188</v>
      </c>
      <c r="E66" s="88" t="s">
        <v>355</v>
      </c>
      <c r="F66" s="88" t="s">
        <v>157</v>
      </c>
      <c r="G66" s="88" t="s">
        <v>158</v>
      </c>
      <c r="H66" s="88">
        <v>0</v>
      </c>
      <c r="I66" s="88" t="s">
        <v>383</v>
      </c>
      <c r="J66" s="88"/>
      <c r="K66" s="95" t="s">
        <v>423</v>
      </c>
      <c r="L66" s="90" t="s">
        <v>357</v>
      </c>
    </row>
    <row r="67" spans="1:12">
      <c r="A67" s="88">
        <f t="shared" si="5"/>
        <v>127</v>
      </c>
      <c r="B67" s="88">
        <v>1</v>
      </c>
      <c r="C67" s="88" t="s">
        <v>422</v>
      </c>
      <c r="D67" s="88" t="s">
        <v>188</v>
      </c>
      <c r="E67" s="88" t="s">
        <v>424</v>
      </c>
      <c r="F67" s="88" t="s">
        <v>157</v>
      </c>
      <c r="G67" s="88" t="s">
        <v>158</v>
      </c>
      <c r="H67" s="88">
        <v>0</v>
      </c>
      <c r="I67" s="88" t="s">
        <v>425</v>
      </c>
      <c r="J67" s="88"/>
      <c r="K67" s="88" t="s">
        <v>426</v>
      </c>
      <c r="L67" s="88"/>
    </row>
    <row r="68" spans="1:12">
      <c r="A68" s="127" t="s">
        <v>220</v>
      </c>
      <c r="B68" s="128"/>
      <c r="C68" s="128"/>
      <c r="D68" s="128"/>
      <c r="E68" s="128"/>
      <c r="F68" s="131" t="s">
        <v>417</v>
      </c>
      <c r="G68" s="128"/>
      <c r="H68" s="92">
        <f>A69</f>
        <v>128</v>
      </c>
      <c r="I68" s="93">
        <f>A77+B77-1</f>
        <v>142</v>
      </c>
      <c r="J68" s="94">
        <f>I68-H68+1</f>
        <v>15</v>
      </c>
      <c r="K68" s="129" t="s">
        <v>418</v>
      </c>
      <c r="L68" s="128"/>
    </row>
    <row r="69" spans="1:12">
      <c r="A69" s="113">
        <f>A67+B67</f>
        <v>128</v>
      </c>
      <c r="B69" s="113">
        <v>1</v>
      </c>
      <c r="C69" s="113" t="s">
        <v>427</v>
      </c>
      <c r="D69" s="113" t="s">
        <v>188</v>
      </c>
      <c r="E69" s="113" t="s">
        <v>428</v>
      </c>
      <c r="F69" s="113" t="s">
        <v>157</v>
      </c>
      <c r="G69" s="113" t="s">
        <v>158</v>
      </c>
      <c r="H69" s="113">
        <v>0</v>
      </c>
      <c r="I69" s="113" t="s">
        <v>159</v>
      </c>
      <c r="J69" s="88"/>
      <c r="K69" s="95"/>
      <c r="L69" s="88" t="s">
        <v>392</v>
      </c>
    </row>
    <row r="70" spans="1:12">
      <c r="A70" s="88">
        <f t="shared" ref="A70:A77" si="6">A69+B69</f>
        <v>129</v>
      </c>
      <c r="B70" s="88">
        <v>1</v>
      </c>
      <c r="C70" s="88" t="s">
        <v>427</v>
      </c>
      <c r="D70" s="88" t="s">
        <v>188</v>
      </c>
      <c r="E70" s="117" t="s">
        <v>429</v>
      </c>
      <c r="F70" s="88" t="s">
        <v>157</v>
      </c>
      <c r="G70" s="88" t="s">
        <v>158</v>
      </c>
      <c r="H70" s="88">
        <v>0</v>
      </c>
      <c r="I70" s="117" t="s">
        <v>159</v>
      </c>
      <c r="J70" s="17"/>
      <c r="K70" s="95"/>
      <c r="L70" s="88" t="s">
        <v>394</v>
      </c>
    </row>
    <row r="71" spans="1:12">
      <c r="A71" s="88">
        <f t="shared" si="6"/>
        <v>130</v>
      </c>
      <c r="B71" s="88">
        <v>1</v>
      </c>
      <c r="C71" s="88" t="s">
        <v>427</v>
      </c>
      <c r="D71" s="88" t="s">
        <v>188</v>
      </c>
      <c r="E71" s="117" t="s">
        <v>430</v>
      </c>
      <c r="F71" s="88" t="s">
        <v>157</v>
      </c>
      <c r="G71" s="88" t="s">
        <v>158</v>
      </c>
      <c r="H71" s="88">
        <v>0</v>
      </c>
      <c r="I71" s="117" t="s">
        <v>159</v>
      </c>
      <c r="J71" s="88"/>
      <c r="K71" s="95"/>
      <c r="L71" s="88" t="s">
        <v>396</v>
      </c>
    </row>
    <row r="72" spans="1:12">
      <c r="A72" s="88">
        <f t="shared" si="6"/>
        <v>131</v>
      </c>
      <c r="B72" s="88">
        <v>2</v>
      </c>
      <c r="C72" s="88" t="s">
        <v>427</v>
      </c>
      <c r="D72" s="88" t="s">
        <v>188</v>
      </c>
      <c r="E72" s="88" t="s">
        <v>431</v>
      </c>
      <c r="F72" s="88" t="s">
        <v>157</v>
      </c>
      <c r="G72" s="88" t="s">
        <v>226</v>
      </c>
      <c r="H72" s="88" t="s">
        <v>160</v>
      </c>
      <c r="I72" s="88" t="s">
        <v>160</v>
      </c>
      <c r="J72" s="88" t="s">
        <v>391</v>
      </c>
      <c r="K72" s="88"/>
      <c r="L72" s="88" t="s">
        <v>392</v>
      </c>
    </row>
    <row r="73" spans="1:12">
      <c r="A73" s="88">
        <f t="shared" si="6"/>
        <v>133</v>
      </c>
      <c r="B73" s="88">
        <v>2</v>
      </c>
      <c r="C73" s="88" t="s">
        <v>427</v>
      </c>
      <c r="D73" s="88" t="s">
        <v>188</v>
      </c>
      <c r="E73" s="88" t="s">
        <v>432</v>
      </c>
      <c r="F73" s="88" t="s">
        <v>157</v>
      </c>
      <c r="G73" s="88" t="s">
        <v>226</v>
      </c>
      <c r="H73" s="88" t="s">
        <v>160</v>
      </c>
      <c r="I73" s="88" t="s">
        <v>160</v>
      </c>
      <c r="J73" s="88" t="s">
        <v>391</v>
      </c>
      <c r="K73" s="88"/>
      <c r="L73" s="88"/>
    </row>
    <row r="74" spans="1:12">
      <c r="A74" s="88">
        <f t="shared" si="6"/>
        <v>135</v>
      </c>
      <c r="B74" s="88">
        <v>2</v>
      </c>
      <c r="C74" s="88" t="s">
        <v>427</v>
      </c>
      <c r="D74" s="88" t="s">
        <v>188</v>
      </c>
      <c r="E74" s="88" t="s">
        <v>433</v>
      </c>
      <c r="F74" s="88" t="s">
        <v>157</v>
      </c>
      <c r="G74" s="88" t="s">
        <v>226</v>
      </c>
      <c r="H74" s="88" t="s">
        <v>160</v>
      </c>
      <c r="I74" s="88" t="s">
        <v>160</v>
      </c>
      <c r="J74" s="88" t="s">
        <v>391</v>
      </c>
      <c r="K74" s="88"/>
      <c r="L74" s="88"/>
    </row>
    <row r="75" spans="1:12">
      <c r="A75" s="88">
        <f t="shared" si="6"/>
        <v>137</v>
      </c>
      <c r="B75" s="88">
        <v>2</v>
      </c>
      <c r="C75" s="88" t="s">
        <v>427</v>
      </c>
      <c r="D75" s="88" t="s">
        <v>188</v>
      </c>
      <c r="E75" s="88" t="s">
        <v>434</v>
      </c>
      <c r="F75" s="88" t="s">
        <v>157</v>
      </c>
      <c r="G75" s="88" t="s">
        <v>226</v>
      </c>
      <c r="H75" s="88">
        <v>750</v>
      </c>
      <c r="I75" s="88" t="s">
        <v>435</v>
      </c>
      <c r="J75" s="88" t="s">
        <v>402</v>
      </c>
      <c r="K75" s="88"/>
      <c r="L75" s="88" t="s">
        <v>392</v>
      </c>
    </row>
    <row r="76" spans="1:12">
      <c r="A76" s="88">
        <f t="shared" si="6"/>
        <v>139</v>
      </c>
      <c r="B76" s="88">
        <v>2</v>
      </c>
      <c r="C76" s="88" t="s">
        <v>427</v>
      </c>
      <c r="D76" s="88" t="s">
        <v>188</v>
      </c>
      <c r="E76" s="88" t="s">
        <v>436</v>
      </c>
      <c r="F76" s="88" t="s">
        <v>157</v>
      </c>
      <c r="G76" s="88" t="s">
        <v>226</v>
      </c>
      <c r="H76" s="88">
        <v>750</v>
      </c>
      <c r="I76" s="88" t="s">
        <v>160</v>
      </c>
      <c r="J76" s="88" t="s">
        <v>402</v>
      </c>
      <c r="K76" s="88"/>
      <c r="L76" s="88"/>
    </row>
    <row r="77" spans="1:12">
      <c r="A77" s="88">
        <f t="shared" si="6"/>
        <v>141</v>
      </c>
      <c r="B77" s="88">
        <v>2</v>
      </c>
      <c r="C77" s="88" t="s">
        <v>427</v>
      </c>
      <c r="D77" s="88" t="s">
        <v>188</v>
      </c>
      <c r="E77" s="88" t="s">
        <v>436</v>
      </c>
      <c r="F77" s="88" t="s">
        <v>157</v>
      </c>
      <c r="G77" s="88" t="s">
        <v>226</v>
      </c>
      <c r="H77" s="88">
        <v>750</v>
      </c>
      <c r="I77" s="88" t="s">
        <v>160</v>
      </c>
      <c r="J77" s="88" t="s">
        <v>402</v>
      </c>
      <c r="K77" s="88"/>
      <c r="L77" s="88"/>
    </row>
    <row r="78" spans="1:12">
      <c r="A78" s="127" t="s">
        <v>152</v>
      </c>
      <c r="B78" s="128"/>
      <c r="C78" s="128"/>
      <c r="D78" s="128"/>
      <c r="E78" s="128"/>
      <c r="F78" s="128"/>
      <c r="G78" s="116" t="s">
        <v>182</v>
      </c>
      <c r="H78" s="92">
        <f>A79</f>
        <v>143</v>
      </c>
      <c r="I78" s="93">
        <f>A79+B79-1</f>
        <v>174</v>
      </c>
      <c r="J78" s="94">
        <f>I78-H78+1</f>
        <v>32</v>
      </c>
      <c r="K78" s="129" t="s">
        <v>183</v>
      </c>
      <c r="L78" s="128"/>
    </row>
    <row r="79" spans="1:12">
      <c r="A79" s="98">
        <f>A77+B77</f>
        <v>143</v>
      </c>
      <c r="B79" s="98">
        <v>32</v>
      </c>
      <c r="C79" s="98" t="s">
        <v>180</v>
      </c>
      <c r="D79" s="98"/>
      <c r="E79" s="98" t="s">
        <v>180</v>
      </c>
      <c r="F79" s="98" t="s">
        <v>160</v>
      </c>
      <c r="G79" s="98" t="s">
        <v>160</v>
      </c>
      <c r="H79" s="98" t="s">
        <v>160</v>
      </c>
      <c r="I79" s="98" t="s">
        <v>160</v>
      </c>
      <c r="J79" s="98" t="s">
        <v>160</v>
      </c>
      <c r="K79" s="99"/>
      <c r="L79" s="100" t="s">
        <v>184</v>
      </c>
    </row>
    <row r="80" spans="1:12">
      <c r="A80" s="127" t="s">
        <v>152</v>
      </c>
      <c r="B80" s="128"/>
      <c r="C80" s="128"/>
      <c r="D80" s="128"/>
      <c r="E80" s="128"/>
      <c r="F80" s="128"/>
      <c r="G80" s="116" t="s">
        <v>358</v>
      </c>
      <c r="H80" s="92">
        <f>A82</f>
        <v>179</v>
      </c>
      <c r="I80" s="93">
        <f>A82+B82-1</f>
        <v>206</v>
      </c>
      <c r="J80" s="94">
        <f>I80-H80+1</f>
        <v>28</v>
      </c>
      <c r="K80" s="129" t="s">
        <v>359</v>
      </c>
      <c r="L80" s="128"/>
    </row>
    <row r="81" spans="1:12">
      <c r="A81" s="117">
        <f>A79+B79</f>
        <v>175</v>
      </c>
      <c r="B81" s="117">
        <v>4</v>
      </c>
      <c r="C81" s="117" t="s">
        <v>187</v>
      </c>
      <c r="D81" s="117"/>
      <c r="E81" s="117" t="s">
        <v>360</v>
      </c>
      <c r="F81" s="117" t="s">
        <v>190</v>
      </c>
      <c r="G81" s="117" t="s">
        <v>217</v>
      </c>
      <c r="H81" s="117">
        <v>0</v>
      </c>
      <c r="I81" s="117" t="s">
        <v>160</v>
      </c>
      <c r="J81" s="117" t="s">
        <v>165</v>
      </c>
      <c r="K81" s="118" t="s">
        <v>361</v>
      </c>
      <c r="L81" s="119" t="s">
        <v>362</v>
      </c>
    </row>
    <row r="82" spans="1:12">
      <c r="A82" s="98">
        <f t="shared" ref="A82:A83" si="7">A81+B81</f>
        <v>179</v>
      </c>
      <c r="B82" s="98">
        <v>28</v>
      </c>
      <c r="C82" s="98" t="s">
        <v>187</v>
      </c>
      <c r="D82" s="98"/>
      <c r="E82" s="98" t="s">
        <v>363</v>
      </c>
      <c r="F82" s="98" t="s">
        <v>160</v>
      </c>
      <c r="G82" s="98" t="s">
        <v>160</v>
      </c>
      <c r="H82" s="98" t="s">
        <v>160</v>
      </c>
      <c r="I82" s="98" t="s">
        <v>160</v>
      </c>
      <c r="J82" s="98" t="s">
        <v>160</v>
      </c>
      <c r="K82" s="99"/>
      <c r="L82" s="100" t="s">
        <v>364</v>
      </c>
    </row>
    <row r="83" spans="1:12">
      <c r="A83" s="88">
        <f t="shared" si="7"/>
        <v>207</v>
      </c>
      <c r="B83" s="88"/>
      <c r="C83" s="88"/>
      <c r="D83" s="88"/>
      <c r="E83" s="88"/>
      <c r="F83" s="88"/>
      <c r="G83" s="88"/>
      <c r="H83" s="88"/>
      <c r="I83" s="88"/>
      <c r="J83" s="88"/>
      <c r="K83" s="89"/>
      <c r="L83" s="88"/>
    </row>
    <row r="84" spans="1:12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9"/>
      <c r="L84" s="88"/>
    </row>
    <row r="85" spans="1:12">
      <c r="A85" s="88"/>
      <c r="B85" s="88"/>
      <c r="C85" s="88"/>
      <c r="D85" s="88"/>
    </row>
    <row r="86" spans="1:12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9"/>
      <c r="L86" s="88"/>
    </row>
    <row r="87" spans="1:12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9"/>
      <c r="L87" s="88"/>
    </row>
    <row r="88" spans="1:12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9"/>
      <c r="L88" s="88"/>
    </row>
    <row r="89" spans="1:12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9"/>
      <c r="L89" s="88"/>
    </row>
    <row r="90" spans="1:12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9"/>
      <c r="L90" s="88"/>
    </row>
    <row r="91" spans="1:12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9"/>
      <c r="L91" s="88"/>
    </row>
    <row r="92" spans="1:1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9"/>
      <c r="L92" s="88"/>
    </row>
    <row r="93" spans="1:12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9"/>
      <c r="L93" s="88"/>
    </row>
    <row r="94" spans="1:12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9"/>
      <c r="L94" s="88"/>
    </row>
    <row r="95" spans="1:12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9"/>
      <c r="L95" s="88"/>
    </row>
    <row r="96" spans="1:12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9"/>
      <c r="L96" s="88"/>
    </row>
    <row r="97" spans="1:12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9"/>
      <c r="L97" s="88"/>
    </row>
    <row r="98" spans="1:12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9"/>
      <c r="L98" s="88"/>
    </row>
    <row r="99" spans="1:12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9"/>
      <c r="L99" s="88"/>
    </row>
    <row r="100" spans="1:12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9"/>
      <c r="L100" s="88"/>
    </row>
    <row r="101" spans="1:12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9"/>
      <c r="L101" s="88"/>
    </row>
    <row r="102" spans="1:1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9"/>
      <c r="L102" s="88"/>
    </row>
    <row r="103" spans="1:12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9"/>
      <c r="L103" s="88"/>
    </row>
    <row r="104" spans="1:12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9"/>
      <c r="L104" s="88"/>
    </row>
    <row r="105" spans="1:12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9"/>
      <c r="L105" s="88"/>
    </row>
    <row r="106" spans="1:12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9"/>
      <c r="L106" s="88"/>
    </row>
    <row r="107" spans="1:12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9"/>
      <c r="L107" s="88"/>
    </row>
    <row r="108" spans="1:12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9"/>
      <c r="L108" s="88"/>
    </row>
    <row r="109" spans="1:12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9"/>
      <c r="L109" s="88"/>
    </row>
    <row r="110" spans="1:12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9"/>
      <c r="L110" s="88"/>
    </row>
    <row r="111" spans="1:12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9"/>
      <c r="L111" s="88"/>
    </row>
    <row r="112" spans="1: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9"/>
      <c r="L112" s="88"/>
    </row>
    <row r="113" spans="1:12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9"/>
      <c r="L113" s="88"/>
    </row>
    <row r="114" spans="1:12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9"/>
      <c r="L114" s="88"/>
    </row>
    <row r="115" spans="1:12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9"/>
      <c r="L115" s="88"/>
    </row>
    <row r="116" spans="1:12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9"/>
      <c r="L116" s="88"/>
    </row>
    <row r="117" spans="1:12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9"/>
      <c r="L117" s="88"/>
    </row>
    <row r="118" spans="1:12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9"/>
      <c r="L118" s="88"/>
    </row>
    <row r="119" spans="1:12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9"/>
      <c r="L119" s="88"/>
    </row>
    <row r="120" spans="1:12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9"/>
      <c r="L120" s="88"/>
    </row>
    <row r="121" spans="1:12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9"/>
      <c r="L121" s="88"/>
    </row>
    <row r="122" spans="1:1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9"/>
      <c r="L122" s="88"/>
    </row>
    <row r="123" spans="1:12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9"/>
      <c r="L123" s="88"/>
    </row>
    <row r="124" spans="1:12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9"/>
      <c r="L124" s="88"/>
    </row>
    <row r="125" spans="1:12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9"/>
      <c r="L125" s="88"/>
    </row>
    <row r="126" spans="1:12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9"/>
      <c r="L126" s="88"/>
    </row>
    <row r="127" spans="1:12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9"/>
      <c r="L127" s="88"/>
    </row>
    <row r="128" spans="1:12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9"/>
      <c r="L128" s="88"/>
    </row>
    <row r="129" spans="1:12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9"/>
      <c r="L129" s="88"/>
    </row>
    <row r="130" spans="1:12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9"/>
      <c r="L130" s="88"/>
    </row>
    <row r="131" spans="1:12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9"/>
      <c r="L131" s="88"/>
    </row>
    <row r="132" spans="1:1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9"/>
      <c r="L132" s="88"/>
    </row>
    <row r="133" spans="1:12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9"/>
      <c r="L133" s="88"/>
    </row>
    <row r="134" spans="1:12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9"/>
      <c r="L134" s="88"/>
    </row>
    <row r="135" spans="1:12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9"/>
      <c r="L135" s="88"/>
    </row>
    <row r="136" spans="1:12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9"/>
      <c r="L136" s="88"/>
    </row>
    <row r="137" spans="1:12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9"/>
      <c r="L137" s="88"/>
    </row>
    <row r="138" spans="1:12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9"/>
      <c r="L138" s="88"/>
    </row>
    <row r="139" spans="1:12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9"/>
      <c r="L139" s="88"/>
    </row>
    <row r="140" spans="1:12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9"/>
      <c r="L140" s="88"/>
    </row>
    <row r="141" spans="1:12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9"/>
      <c r="L141" s="88"/>
    </row>
    <row r="142" spans="1:1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9"/>
      <c r="L142" s="88"/>
    </row>
    <row r="143" spans="1:12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9"/>
      <c r="L143" s="88"/>
    </row>
    <row r="144" spans="1:12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9"/>
      <c r="L144" s="88"/>
    </row>
    <row r="145" spans="1:12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9"/>
      <c r="L145" s="88"/>
    </row>
    <row r="146" spans="1:12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9"/>
      <c r="L146" s="88"/>
    </row>
    <row r="147" spans="1:12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9"/>
      <c r="L147" s="88"/>
    </row>
    <row r="148" spans="1:12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9"/>
      <c r="L148" s="88"/>
    </row>
    <row r="149" spans="1:12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9"/>
      <c r="L149" s="88"/>
    </row>
    <row r="150" spans="1:12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9"/>
      <c r="L150" s="88"/>
    </row>
    <row r="151" spans="1:12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9"/>
      <c r="L151" s="88"/>
    </row>
    <row r="152" spans="1:1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9"/>
      <c r="L152" s="88"/>
    </row>
    <row r="153" spans="1:12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9"/>
      <c r="L153" s="88"/>
    </row>
    <row r="154" spans="1:12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9"/>
      <c r="L154" s="88"/>
    </row>
    <row r="155" spans="1:12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9"/>
      <c r="L155" s="88"/>
    </row>
    <row r="156" spans="1:12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9"/>
      <c r="L156" s="88"/>
    </row>
    <row r="157" spans="1:12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9"/>
      <c r="L157" s="88"/>
    </row>
    <row r="158" spans="1:12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9"/>
      <c r="L158" s="88"/>
    </row>
    <row r="159" spans="1:12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9"/>
      <c r="L159" s="88"/>
    </row>
    <row r="160" spans="1:12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9"/>
      <c r="L160" s="88"/>
    </row>
    <row r="161" spans="1:12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9"/>
      <c r="L161" s="88"/>
    </row>
    <row r="162" spans="1:1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9"/>
      <c r="L162" s="88"/>
    </row>
    <row r="163" spans="1:12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9"/>
      <c r="L163" s="88"/>
    </row>
    <row r="164" spans="1:12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9"/>
      <c r="L164" s="88"/>
    </row>
    <row r="165" spans="1:12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9"/>
      <c r="L165" s="88"/>
    </row>
    <row r="166" spans="1:12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9"/>
      <c r="L166" s="88"/>
    </row>
    <row r="167" spans="1:12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9"/>
      <c r="L167" s="88"/>
    </row>
    <row r="168" spans="1:12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9"/>
      <c r="L168" s="88"/>
    </row>
    <row r="169" spans="1:12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9"/>
      <c r="L169" s="88"/>
    </row>
    <row r="170" spans="1:12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9"/>
      <c r="L170" s="88"/>
    </row>
    <row r="171" spans="1:12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9"/>
      <c r="L171" s="88"/>
    </row>
    <row r="172" spans="1:1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9"/>
      <c r="L172" s="88"/>
    </row>
    <row r="173" spans="1:12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9"/>
      <c r="L173" s="88"/>
    </row>
    <row r="174" spans="1:12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9"/>
      <c r="L174" s="88"/>
    </row>
    <row r="175" spans="1:12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9"/>
      <c r="L175" s="88"/>
    </row>
    <row r="176" spans="1:12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9"/>
      <c r="L176" s="88"/>
    </row>
    <row r="177" spans="1:12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9"/>
      <c r="L177" s="88"/>
    </row>
    <row r="178" spans="1:12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9"/>
      <c r="L178" s="88"/>
    </row>
    <row r="179" spans="1:12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9"/>
      <c r="L179" s="88"/>
    </row>
    <row r="180" spans="1:12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9"/>
      <c r="L180" s="88"/>
    </row>
    <row r="181" spans="1:12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9"/>
      <c r="L181" s="88"/>
    </row>
    <row r="182" spans="1:1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9"/>
      <c r="L182" s="88"/>
    </row>
    <row r="183" spans="1:12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9"/>
      <c r="L183" s="88"/>
    </row>
    <row r="184" spans="1:12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9"/>
      <c r="L184" s="88"/>
    </row>
    <row r="185" spans="1:12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9"/>
      <c r="L185" s="88"/>
    </row>
    <row r="186" spans="1:12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9"/>
      <c r="L186" s="88"/>
    </row>
    <row r="187" spans="1:12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9"/>
      <c r="L187" s="88"/>
    </row>
    <row r="188" spans="1:12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9"/>
      <c r="L188" s="88"/>
    </row>
    <row r="189" spans="1:12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9"/>
      <c r="L189" s="88"/>
    </row>
    <row r="190" spans="1:12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9"/>
      <c r="L190" s="88"/>
    </row>
    <row r="191" spans="1:12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9"/>
      <c r="L191" s="88"/>
    </row>
    <row r="192" spans="1:1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9"/>
      <c r="L192" s="88"/>
    </row>
    <row r="193" spans="1:12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9"/>
      <c r="L193" s="88"/>
    </row>
    <row r="194" spans="1:12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9"/>
      <c r="L194" s="88"/>
    </row>
    <row r="195" spans="1:12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9"/>
      <c r="L195" s="88"/>
    </row>
    <row r="196" spans="1:12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9"/>
      <c r="L196" s="88"/>
    </row>
    <row r="197" spans="1:12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9"/>
      <c r="L197" s="88"/>
    </row>
    <row r="198" spans="1:12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9"/>
      <c r="L198" s="88"/>
    </row>
    <row r="199" spans="1:12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9"/>
      <c r="L199" s="88"/>
    </row>
    <row r="200" spans="1:12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9"/>
      <c r="L200" s="88"/>
    </row>
    <row r="201" spans="1:12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9"/>
      <c r="L201" s="88"/>
    </row>
    <row r="202" spans="1:1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9"/>
      <c r="L202" s="88"/>
    </row>
    <row r="203" spans="1:12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9"/>
      <c r="L203" s="88"/>
    </row>
    <row r="204" spans="1:12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9"/>
      <c r="L204" s="88"/>
    </row>
    <row r="205" spans="1:12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9"/>
      <c r="L205" s="88"/>
    </row>
    <row r="206" spans="1:12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9"/>
      <c r="L206" s="88"/>
    </row>
    <row r="207" spans="1:12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9"/>
      <c r="L207" s="88"/>
    </row>
    <row r="208" spans="1:12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9"/>
      <c r="L208" s="88"/>
    </row>
    <row r="209" spans="1:12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9"/>
      <c r="L209" s="88"/>
    </row>
    <row r="210" spans="1:12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9"/>
      <c r="L210" s="88"/>
    </row>
    <row r="211" spans="1:12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9"/>
      <c r="L211" s="88"/>
    </row>
    <row r="212" spans="1: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9"/>
      <c r="L212" s="88"/>
    </row>
    <row r="213" spans="1:12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9"/>
      <c r="L213" s="88"/>
    </row>
    <row r="214" spans="1:12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9"/>
      <c r="L214" s="88"/>
    </row>
    <row r="215" spans="1:12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9"/>
      <c r="L215" s="88"/>
    </row>
    <row r="216" spans="1:12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9"/>
      <c r="L216" s="88"/>
    </row>
    <row r="217" spans="1:12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9"/>
      <c r="L217" s="88"/>
    </row>
    <row r="218" spans="1:12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9"/>
      <c r="L218" s="88"/>
    </row>
    <row r="219" spans="1:12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9"/>
      <c r="L219" s="88"/>
    </row>
    <row r="220" spans="1:12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9"/>
      <c r="L220" s="88"/>
    </row>
    <row r="221" spans="1:12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9"/>
      <c r="L221" s="88"/>
    </row>
    <row r="222" spans="1:1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9"/>
      <c r="L222" s="88"/>
    </row>
    <row r="223" spans="1:12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9"/>
      <c r="L223" s="88"/>
    </row>
    <row r="224" spans="1:12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9"/>
      <c r="L224" s="88"/>
    </row>
    <row r="225" spans="1:12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9"/>
      <c r="L225" s="88"/>
    </row>
    <row r="226" spans="1:12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9"/>
      <c r="L226" s="88"/>
    </row>
    <row r="227" spans="1:12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9"/>
      <c r="L227" s="88"/>
    </row>
    <row r="228" spans="1:12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9"/>
      <c r="L228" s="88"/>
    </row>
    <row r="229" spans="1:12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9"/>
      <c r="L229" s="88"/>
    </row>
    <row r="230" spans="1:12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9"/>
      <c r="L230" s="88"/>
    </row>
    <row r="231" spans="1:12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9"/>
      <c r="L231" s="88"/>
    </row>
    <row r="232" spans="1:1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9"/>
      <c r="L232" s="88"/>
    </row>
    <row r="233" spans="1:12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9"/>
      <c r="L233" s="88"/>
    </row>
    <row r="234" spans="1:12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9"/>
      <c r="L234" s="88"/>
    </row>
    <row r="235" spans="1:12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9"/>
      <c r="L235" s="88"/>
    </row>
    <row r="236" spans="1:12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9"/>
      <c r="L236" s="88"/>
    </row>
    <row r="237" spans="1:12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9"/>
      <c r="L237" s="88"/>
    </row>
    <row r="238" spans="1:12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9"/>
      <c r="L238" s="88"/>
    </row>
    <row r="239" spans="1:12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9"/>
      <c r="L239" s="88"/>
    </row>
    <row r="240" spans="1:12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9"/>
      <c r="L240" s="88"/>
    </row>
    <row r="241" spans="1:12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9"/>
      <c r="L241" s="88"/>
    </row>
    <row r="242" spans="1:1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9"/>
      <c r="L242" s="88"/>
    </row>
    <row r="243" spans="1:12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9"/>
      <c r="L243" s="88"/>
    </row>
    <row r="244" spans="1:12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9"/>
      <c r="L244" s="88"/>
    </row>
    <row r="245" spans="1:12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9"/>
      <c r="L245" s="88"/>
    </row>
    <row r="246" spans="1:12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9"/>
      <c r="L246" s="88"/>
    </row>
    <row r="247" spans="1:12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9"/>
      <c r="L247" s="88"/>
    </row>
    <row r="248" spans="1:12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9"/>
      <c r="L248" s="88"/>
    </row>
    <row r="249" spans="1:12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9"/>
      <c r="L249" s="88"/>
    </row>
    <row r="250" spans="1:12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9"/>
      <c r="L250" s="88"/>
    </row>
    <row r="251" spans="1:12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9"/>
      <c r="L251" s="88"/>
    </row>
    <row r="252" spans="1:1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9"/>
      <c r="L252" s="88"/>
    </row>
    <row r="253" spans="1:12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9"/>
      <c r="L253" s="88"/>
    </row>
    <row r="254" spans="1:12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9"/>
      <c r="L254" s="88"/>
    </row>
    <row r="255" spans="1:12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9"/>
      <c r="L255" s="88"/>
    </row>
    <row r="256" spans="1:12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9"/>
      <c r="L256" s="88"/>
    </row>
    <row r="257" spans="1:12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9"/>
      <c r="L257" s="88"/>
    </row>
    <row r="258" spans="1:12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9"/>
      <c r="L258" s="88"/>
    </row>
    <row r="259" spans="1:12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9"/>
      <c r="L259" s="88"/>
    </row>
    <row r="260" spans="1:12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9"/>
      <c r="L260" s="88"/>
    </row>
    <row r="261" spans="1:12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9"/>
      <c r="L261" s="88"/>
    </row>
    <row r="262" spans="1:1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9"/>
      <c r="L262" s="88"/>
    </row>
    <row r="263" spans="1:12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9"/>
      <c r="L263" s="88"/>
    </row>
    <row r="264" spans="1:12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9"/>
      <c r="L264" s="88"/>
    </row>
    <row r="265" spans="1:12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9"/>
      <c r="L265" s="88"/>
    </row>
    <row r="266" spans="1:12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9"/>
      <c r="L266" s="88"/>
    </row>
    <row r="267" spans="1:12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9"/>
      <c r="L267" s="88"/>
    </row>
    <row r="268" spans="1:12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9"/>
      <c r="L268" s="88"/>
    </row>
    <row r="269" spans="1:12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9"/>
      <c r="L269" s="88"/>
    </row>
    <row r="270" spans="1:12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9"/>
      <c r="L270" s="88"/>
    </row>
    <row r="271" spans="1:12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9"/>
      <c r="L271" s="88"/>
    </row>
    <row r="272" spans="1:1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9"/>
      <c r="L272" s="88"/>
    </row>
    <row r="273" spans="1:12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9"/>
      <c r="L273" s="88"/>
    </row>
    <row r="274" spans="1:12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9"/>
      <c r="L274" s="88"/>
    </row>
    <row r="275" spans="1:12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9"/>
      <c r="L275" s="88"/>
    </row>
    <row r="276" spans="1:12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9"/>
      <c r="L276" s="88"/>
    </row>
    <row r="277" spans="1:12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9"/>
      <c r="L277" s="88"/>
    </row>
    <row r="278" spans="1:12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9"/>
      <c r="L278" s="88"/>
    </row>
    <row r="279" spans="1:12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9"/>
      <c r="L279" s="88"/>
    </row>
    <row r="280" spans="1:12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9"/>
      <c r="L280" s="88"/>
    </row>
    <row r="281" spans="1:12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9"/>
      <c r="L281" s="88"/>
    </row>
    <row r="282" spans="1:1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9"/>
      <c r="L282" s="88"/>
    </row>
    <row r="283" spans="1:12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9"/>
      <c r="L283" s="88"/>
    </row>
    <row r="284" spans="1:12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9"/>
      <c r="L284" s="88"/>
    </row>
    <row r="285" spans="1:12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9"/>
      <c r="L285" s="88"/>
    </row>
    <row r="286" spans="1:12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9"/>
      <c r="L286" s="88"/>
    </row>
    <row r="287" spans="1:12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9"/>
      <c r="L287" s="88"/>
    </row>
    <row r="288" spans="1:12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9"/>
      <c r="L288" s="88"/>
    </row>
    <row r="289" spans="1:12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9"/>
      <c r="L289" s="88"/>
    </row>
    <row r="290" spans="1:12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9"/>
      <c r="L290" s="88"/>
    </row>
    <row r="291" spans="1:12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9"/>
      <c r="L291" s="88"/>
    </row>
    <row r="292" spans="1:1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9"/>
      <c r="L292" s="88"/>
    </row>
    <row r="293" spans="1:12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9"/>
      <c r="L293" s="88"/>
    </row>
    <row r="294" spans="1:12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9"/>
      <c r="L294" s="88"/>
    </row>
    <row r="295" spans="1:12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9"/>
      <c r="L295" s="88"/>
    </row>
    <row r="296" spans="1:12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9"/>
      <c r="L296" s="88"/>
    </row>
    <row r="297" spans="1:12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9"/>
      <c r="L297" s="88"/>
    </row>
    <row r="298" spans="1:12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9"/>
      <c r="L298" s="88"/>
    </row>
    <row r="299" spans="1:12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9"/>
      <c r="L299" s="88"/>
    </row>
    <row r="300" spans="1:12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9"/>
      <c r="L300" s="88"/>
    </row>
    <row r="301" spans="1:12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9"/>
      <c r="L301" s="88"/>
    </row>
    <row r="302" spans="1:1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9"/>
      <c r="L302" s="88"/>
    </row>
    <row r="303" spans="1:12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9"/>
      <c r="L303" s="88"/>
    </row>
    <row r="304" spans="1:12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9"/>
      <c r="L304" s="88"/>
    </row>
    <row r="305" spans="1:12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9"/>
      <c r="L305" s="88"/>
    </row>
    <row r="306" spans="1:12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9"/>
      <c r="L306" s="88"/>
    </row>
    <row r="307" spans="1:12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9"/>
      <c r="L307" s="88"/>
    </row>
    <row r="308" spans="1:12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9"/>
      <c r="L308" s="88"/>
    </row>
    <row r="309" spans="1:12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9"/>
      <c r="L309" s="88"/>
    </row>
    <row r="310" spans="1:12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9"/>
      <c r="L310" s="88"/>
    </row>
    <row r="311" spans="1:12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9"/>
      <c r="L311" s="88"/>
    </row>
    <row r="312" spans="1: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9"/>
      <c r="L312" s="88"/>
    </row>
    <row r="313" spans="1:12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9"/>
      <c r="L313" s="88"/>
    </row>
    <row r="314" spans="1:12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9"/>
      <c r="L314" s="88"/>
    </row>
    <row r="315" spans="1:12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9"/>
      <c r="L315" s="88"/>
    </row>
    <row r="316" spans="1:12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9"/>
      <c r="L316" s="88"/>
    </row>
    <row r="317" spans="1:12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9"/>
      <c r="L317" s="88"/>
    </row>
    <row r="318" spans="1:12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9"/>
      <c r="L318" s="88"/>
    </row>
    <row r="319" spans="1:12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9"/>
      <c r="L319" s="88"/>
    </row>
    <row r="320" spans="1:12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9"/>
      <c r="L320" s="88"/>
    </row>
    <row r="321" spans="1:12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9"/>
      <c r="L321" s="88"/>
    </row>
    <row r="322" spans="1:1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9"/>
      <c r="L322" s="88"/>
    </row>
    <row r="323" spans="1:12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9"/>
      <c r="L323" s="88"/>
    </row>
    <row r="324" spans="1:12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9"/>
      <c r="L324" s="88"/>
    </row>
    <row r="325" spans="1:12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9"/>
      <c r="L325" s="88"/>
    </row>
    <row r="326" spans="1:12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9"/>
      <c r="L326" s="88"/>
    </row>
    <row r="327" spans="1:12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9"/>
      <c r="L327" s="88"/>
    </row>
    <row r="328" spans="1:12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9"/>
      <c r="L328" s="88"/>
    </row>
    <row r="329" spans="1:12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9"/>
      <c r="L329" s="88"/>
    </row>
    <row r="330" spans="1:12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9"/>
      <c r="L330" s="88"/>
    </row>
    <row r="331" spans="1:12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9"/>
      <c r="L331" s="88"/>
    </row>
    <row r="332" spans="1:1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9"/>
      <c r="L332" s="88"/>
    </row>
    <row r="333" spans="1:12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9"/>
      <c r="L333" s="88"/>
    </row>
    <row r="334" spans="1:12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9"/>
      <c r="L334" s="88"/>
    </row>
    <row r="335" spans="1:12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9"/>
      <c r="L335" s="88"/>
    </row>
    <row r="336" spans="1:12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9"/>
      <c r="L336" s="88"/>
    </row>
    <row r="337" spans="1:12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9"/>
      <c r="L337" s="88"/>
    </row>
    <row r="338" spans="1:12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9"/>
      <c r="L338" s="88"/>
    </row>
    <row r="339" spans="1:12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9"/>
      <c r="L339" s="88"/>
    </row>
    <row r="340" spans="1:12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9"/>
      <c r="L340" s="88"/>
    </row>
    <row r="341" spans="1:12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9"/>
      <c r="L341" s="88"/>
    </row>
    <row r="342" spans="1:1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9"/>
      <c r="L342" s="88"/>
    </row>
    <row r="343" spans="1:12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9"/>
      <c r="L343" s="88"/>
    </row>
    <row r="344" spans="1:12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9"/>
      <c r="L344" s="88"/>
    </row>
    <row r="345" spans="1:12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9"/>
      <c r="L345" s="88"/>
    </row>
    <row r="346" spans="1:12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9"/>
      <c r="L346" s="88"/>
    </row>
    <row r="347" spans="1:12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9"/>
      <c r="L347" s="88"/>
    </row>
    <row r="348" spans="1:12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9"/>
      <c r="L348" s="88"/>
    </row>
    <row r="349" spans="1:12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9"/>
      <c r="L349" s="88"/>
    </row>
    <row r="350" spans="1:12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9"/>
      <c r="L350" s="88"/>
    </row>
    <row r="351" spans="1:12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9"/>
      <c r="L351" s="88"/>
    </row>
    <row r="352" spans="1:1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9"/>
      <c r="L352" s="88"/>
    </row>
    <row r="353" spans="1:12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9"/>
      <c r="L353" s="88"/>
    </row>
    <row r="354" spans="1:12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9"/>
      <c r="L354" s="88"/>
    </row>
    <row r="355" spans="1:12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9"/>
      <c r="L355" s="88"/>
    </row>
    <row r="356" spans="1:12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9"/>
      <c r="L356" s="88"/>
    </row>
    <row r="357" spans="1:12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9"/>
      <c r="L357" s="88"/>
    </row>
    <row r="358" spans="1:12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9"/>
      <c r="L358" s="88"/>
    </row>
    <row r="359" spans="1:12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9"/>
      <c r="L359" s="88"/>
    </row>
    <row r="360" spans="1:12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9"/>
      <c r="L360" s="88"/>
    </row>
    <row r="361" spans="1:12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9"/>
      <c r="L361" s="88"/>
    </row>
    <row r="362" spans="1:1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9"/>
      <c r="L362" s="88"/>
    </row>
    <row r="363" spans="1:12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9"/>
      <c r="L363" s="88"/>
    </row>
    <row r="364" spans="1:12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9"/>
      <c r="L364" s="88"/>
    </row>
    <row r="365" spans="1:12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9"/>
      <c r="L365" s="88"/>
    </row>
    <row r="366" spans="1:12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9"/>
      <c r="L366" s="88"/>
    </row>
    <row r="367" spans="1:12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9"/>
      <c r="L367" s="88"/>
    </row>
    <row r="368" spans="1:12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9"/>
      <c r="L368" s="88"/>
    </row>
    <row r="369" spans="1:12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9"/>
      <c r="L369" s="88"/>
    </row>
    <row r="370" spans="1:12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9"/>
      <c r="L370" s="88"/>
    </row>
    <row r="371" spans="1:12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9"/>
      <c r="L371" s="88"/>
    </row>
    <row r="372" spans="1:1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9"/>
      <c r="L372" s="88"/>
    </row>
    <row r="373" spans="1:12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9"/>
      <c r="L373" s="88"/>
    </row>
    <row r="374" spans="1:12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9"/>
      <c r="L374" s="88"/>
    </row>
    <row r="375" spans="1:12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9"/>
      <c r="L375" s="88"/>
    </row>
    <row r="376" spans="1:12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9"/>
      <c r="L376" s="88"/>
    </row>
    <row r="377" spans="1:12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9"/>
      <c r="L377" s="88"/>
    </row>
    <row r="378" spans="1:12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9"/>
      <c r="L378" s="88"/>
    </row>
    <row r="379" spans="1:12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9"/>
      <c r="L379" s="88"/>
    </row>
    <row r="380" spans="1:12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9"/>
      <c r="L380" s="88"/>
    </row>
    <row r="381" spans="1:12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9"/>
      <c r="L381" s="88"/>
    </row>
    <row r="382" spans="1:1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9"/>
      <c r="L382" s="88"/>
    </row>
    <row r="383" spans="1:12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9"/>
      <c r="L383" s="88"/>
    </row>
    <row r="384" spans="1:12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9"/>
      <c r="L384" s="88"/>
    </row>
    <row r="385" spans="1:12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9"/>
      <c r="L385" s="88"/>
    </row>
    <row r="386" spans="1:12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9"/>
      <c r="L386" s="88"/>
    </row>
    <row r="387" spans="1:12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9"/>
      <c r="L387" s="88"/>
    </row>
    <row r="388" spans="1:12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9"/>
      <c r="L388" s="88"/>
    </row>
    <row r="389" spans="1:12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9"/>
      <c r="L389" s="88"/>
    </row>
    <row r="390" spans="1:12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9"/>
      <c r="L390" s="88"/>
    </row>
    <row r="391" spans="1:12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9"/>
      <c r="L391" s="88"/>
    </row>
    <row r="392" spans="1:1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9"/>
      <c r="L392" s="88"/>
    </row>
    <row r="393" spans="1:12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9"/>
      <c r="L393" s="88"/>
    </row>
    <row r="394" spans="1:12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9"/>
      <c r="L394" s="88"/>
    </row>
    <row r="395" spans="1:12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9"/>
      <c r="L395" s="88"/>
    </row>
    <row r="396" spans="1:12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9"/>
      <c r="L396" s="88"/>
    </row>
    <row r="397" spans="1:12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9"/>
      <c r="L397" s="88"/>
    </row>
    <row r="398" spans="1:12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9"/>
      <c r="L398" s="88"/>
    </row>
    <row r="399" spans="1:12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9"/>
      <c r="L399" s="88"/>
    </row>
    <row r="400" spans="1:12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9"/>
      <c r="L400" s="88"/>
    </row>
    <row r="401" spans="1:12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9"/>
      <c r="L401" s="88"/>
    </row>
    <row r="402" spans="1:1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9"/>
      <c r="L402" s="88"/>
    </row>
    <row r="403" spans="1:12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9"/>
      <c r="L403" s="88"/>
    </row>
    <row r="404" spans="1:12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9"/>
      <c r="L404" s="88"/>
    </row>
    <row r="405" spans="1:12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9"/>
      <c r="L405" s="88"/>
    </row>
    <row r="406" spans="1:12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9"/>
      <c r="L406" s="88"/>
    </row>
    <row r="407" spans="1:12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9"/>
      <c r="L407" s="88"/>
    </row>
    <row r="408" spans="1:12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9"/>
      <c r="L408" s="88"/>
    </row>
    <row r="409" spans="1:12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9"/>
      <c r="L409" s="88"/>
    </row>
    <row r="410" spans="1:12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9"/>
      <c r="L410" s="88"/>
    </row>
    <row r="411" spans="1:12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9"/>
      <c r="L411" s="88"/>
    </row>
    <row r="412" spans="1: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9"/>
      <c r="L412" s="88"/>
    </row>
    <row r="413" spans="1:12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9"/>
      <c r="L413" s="88"/>
    </row>
    <row r="414" spans="1:12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9"/>
      <c r="L414" s="88"/>
    </row>
    <row r="415" spans="1:12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9"/>
      <c r="L415" s="88"/>
    </row>
    <row r="416" spans="1:12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9"/>
      <c r="L416" s="88"/>
    </row>
    <row r="417" spans="1:12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9"/>
      <c r="L417" s="88"/>
    </row>
    <row r="418" spans="1:12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9"/>
      <c r="L418" s="88"/>
    </row>
    <row r="419" spans="1:12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9"/>
      <c r="L419" s="88"/>
    </row>
    <row r="420" spans="1:12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9"/>
      <c r="L420" s="88"/>
    </row>
    <row r="421" spans="1:12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9"/>
      <c r="L421" s="88"/>
    </row>
    <row r="422" spans="1:1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9"/>
      <c r="L422" s="88"/>
    </row>
    <row r="423" spans="1:12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9"/>
      <c r="L423" s="88"/>
    </row>
    <row r="424" spans="1:12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9"/>
      <c r="L424" s="88"/>
    </row>
    <row r="425" spans="1:12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9"/>
      <c r="L425" s="88"/>
    </row>
    <row r="426" spans="1:12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9"/>
      <c r="L426" s="88"/>
    </row>
    <row r="427" spans="1:12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9"/>
      <c r="L427" s="88"/>
    </row>
    <row r="428" spans="1:12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9"/>
      <c r="L428" s="88"/>
    </row>
    <row r="429" spans="1:12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9"/>
      <c r="L429" s="88"/>
    </row>
    <row r="430" spans="1:12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9"/>
      <c r="L430" s="88"/>
    </row>
    <row r="431" spans="1:12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9"/>
      <c r="L431" s="88"/>
    </row>
    <row r="432" spans="1:1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9"/>
      <c r="L432" s="88"/>
    </row>
    <row r="433" spans="1:12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9"/>
      <c r="L433" s="88"/>
    </row>
    <row r="434" spans="1:12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9"/>
      <c r="L434" s="88"/>
    </row>
    <row r="435" spans="1:12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9"/>
      <c r="L435" s="88"/>
    </row>
    <row r="436" spans="1:12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9"/>
      <c r="L436" s="88"/>
    </row>
    <row r="437" spans="1:12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9"/>
      <c r="L437" s="88"/>
    </row>
    <row r="438" spans="1:12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9"/>
      <c r="L438" s="88"/>
    </row>
    <row r="439" spans="1:12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9"/>
      <c r="L439" s="88"/>
    </row>
    <row r="440" spans="1:12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9"/>
      <c r="L440" s="88"/>
    </row>
    <row r="441" spans="1:12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9"/>
      <c r="L441" s="88"/>
    </row>
    <row r="442" spans="1:1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9"/>
      <c r="L442" s="88"/>
    </row>
    <row r="443" spans="1:12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9"/>
      <c r="L443" s="88"/>
    </row>
    <row r="444" spans="1:12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9"/>
      <c r="L444" s="88"/>
    </row>
    <row r="445" spans="1:12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9"/>
      <c r="L445" s="88"/>
    </row>
    <row r="446" spans="1:12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9"/>
      <c r="L446" s="88"/>
    </row>
    <row r="447" spans="1:12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9"/>
      <c r="L447" s="88"/>
    </row>
    <row r="448" spans="1:12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9"/>
      <c r="L448" s="88"/>
    </row>
    <row r="449" spans="1:12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9"/>
      <c r="L449" s="88"/>
    </row>
    <row r="450" spans="1:12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9"/>
      <c r="L450" s="88"/>
    </row>
    <row r="451" spans="1:12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9"/>
      <c r="L451" s="88"/>
    </row>
    <row r="452" spans="1:1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9"/>
      <c r="L452" s="88"/>
    </row>
    <row r="453" spans="1:12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9"/>
      <c r="L453" s="88"/>
    </row>
    <row r="454" spans="1:12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9"/>
      <c r="L454" s="88"/>
    </row>
    <row r="455" spans="1:12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9"/>
      <c r="L455" s="88"/>
    </row>
    <row r="456" spans="1:12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9"/>
      <c r="L456" s="88"/>
    </row>
    <row r="457" spans="1:12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9"/>
      <c r="L457" s="88"/>
    </row>
    <row r="458" spans="1:12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9"/>
      <c r="L458" s="88"/>
    </row>
    <row r="459" spans="1:12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9"/>
      <c r="L459" s="88"/>
    </row>
    <row r="460" spans="1:12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9"/>
      <c r="L460" s="88"/>
    </row>
    <row r="461" spans="1:12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9"/>
      <c r="L461" s="88"/>
    </row>
    <row r="462" spans="1:1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9"/>
      <c r="L462" s="88"/>
    </row>
    <row r="463" spans="1:12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9"/>
      <c r="L463" s="88"/>
    </row>
    <row r="464" spans="1:12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9"/>
      <c r="L464" s="88"/>
    </row>
    <row r="465" spans="1:12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9"/>
      <c r="L465" s="88"/>
    </row>
    <row r="466" spans="1:12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9"/>
      <c r="L466" s="88"/>
    </row>
    <row r="467" spans="1:12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9"/>
      <c r="L467" s="88"/>
    </row>
    <row r="468" spans="1:12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9"/>
      <c r="L468" s="88"/>
    </row>
    <row r="469" spans="1:12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9"/>
      <c r="L469" s="88"/>
    </row>
    <row r="470" spans="1:12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9"/>
      <c r="L470" s="88"/>
    </row>
    <row r="471" spans="1:12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9"/>
      <c r="L471" s="88"/>
    </row>
    <row r="472" spans="1:1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9"/>
      <c r="L472" s="88"/>
    </row>
    <row r="473" spans="1:12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9"/>
      <c r="L473" s="88"/>
    </row>
    <row r="474" spans="1:12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9"/>
      <c r="L474" s="88"/>
    </row>
    <row r="475" spans="1:12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9"/>
      <c r="L475" s="88"/>
    </row>
    <row r="476" spans="1:12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9"/>
      <c r="L476" s="88"/>
    </row>
    <row r="477" spans="1:12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9"/>
      <c r="L477" s="88"/>
    </row>
    <row r="478" spans="1:12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9"/>
      <c r="L478" s="88"/>
    </row>
    <row r="479" spans="1:12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9"/>
      <c r="L479" s="88"/>
    </row>
    <row r="480" spans="1:12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9"/>
      <c r="L480" s="88"/>
    </row>
    <row r="481" spans="1:12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9"/>
      <c r="L481" s="88"/>
    </row>
    <row r="482" spans="1:1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9"/>
      <c r="L482" s="88"/>
    </row>
    <row r="483" spans="1:12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9"/>
      <c r="L483" s="88"/>
    </row>
    <row r="484" spans="1:12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9"/>
      <c r="L484" s="88"/>
    </row>
    <row r="485" spans="1:12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9"/>
      <c r="L485" s="88"/>
    </row>
    <row r="486" spans="1:12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9"/>
      <c r="L486" s="88"/>
    </row>
    <row r="487" spans="1:12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9"/>
      <c r="L487" s="88"/>
    </row>
    <row r="488" spans="1:12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9"/>
      <c r="L488" s="88"/>
    </row>
    <row r="489" spans="1:12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9"/>
      <c r="L489" s="88"/>
    </row>
    <row r="490" spans="1:12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9"/>
      <c r="L490" s="88"/>
    </row>
    <row r="491" spans="1:12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9"/>
      <c r="L491" s="88"/>
    </row>
    <row r="492" spans="1:1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9"/>
      <c r="L492" s="88"/>
    </row>
    <row r="493" spans="1:12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9"/>
      <c r="L493" s="88"/>
    </row>
    <row r="494" spans="1:12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9"/>
      <c r="L494" s="88"/>
    </row>
    <row r="495" spans="1:12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9"/>
      <c r="L495" s="88"/>
    </row>
    <row r="496" spans="1:12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9"/>
      <c r="L496" s="88"/>
    </row>
    <row r="497" spans="1:12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9"/>
      <c r="L497" s="88"/>
    </row>
    <row r="498" spans="1:12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9"/>
      <c r="L498" s="88"/>
    </row>
    <row r="499" spans="1:12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9"/>
      <c r="L499" s="88"/>
    </row>
    <row r="500" spans="1:12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9"/>
      <c r="L500" s="88"/>
    </row>
    <row r="501" spans="1:12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9"/>
      <c r="L501" s="88"/>
    </row>
    <row r="502" spans="1:1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9"/>
      <c r="L502" s="88"/>
    </row>
    <row r="503" spans="1:12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9"/>
      <c r="L503" s="88"/>
    </row>
    <row r="504" spans="1:12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9"/>
      <c r="L504" s="88"/>
    </row>
    <row r="505" spans="1:12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9"/>
      <c r="L505" s="88"/>
    </row>
    <row r="506" spans="1:12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9"/>
      <c r="L506" s="88"/>
    </row>
    <row r="507" spans="1:12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9"/>
      <c r="L507" s="88"/>
    </row>
    <row r="508" spans="1:12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9"/>
      <c r="L508" s="88"/>
    </row>
    <row r="509" spans="1:12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9"/>
      <c r="L509" s="88"/>
    </row>
    <row r="510" spans="1:12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9"/>
      <c r="L510" s="88"/>
    </row>
    <row r="511" spans="1:12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9"/>
      <c r="L511" s="88"/>
    </row>
    <row r="512" spans="1: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9"/>
      <c r="L512" s="88"/>
    </row>
    <row r="513" spans="1:12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9"/>
      <c r="L513" s="88"/>
    </row>
    <row r="514" spans="1:12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9"/>
      <c r="L514" s="88"/>
    </row>
    <row r="515" spans="1:12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9"/>
      <c r="L515" s="88"/>
    </row>
    <row r="516" spans="1:12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9"/>
      <c r="L516" s="88"/>
    </row>
    <row r="517" spans="1:12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9"/>
      <c r="L517" s="88"/>
    </row>
    <row r="518" spans="1:12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9"/>
      <c r="L518" s="88"/>
    </row>
    <row r="519" spans="1:12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9"/>
      <c r="L519" s="88"/>
    </row>
    <row r="520" spans="1:12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9"/>
      <c r="L520" s="88"/>
    </row>
    <row r="521" spans="1:12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9"/>
      <c r="L521" s="88"/>
    </row>
    <row r="522" spans="1:1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9"/>
      <c r="L522" s="88"/>
    </row>
    <row r="523" spans="1:12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9"/>
      <c r="L523" s="88"/>
    </row>
    <row r="524" spans="1:12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9"/>
      <c r="L524" s="88"/>
    </row>
    <row r="525" spans="1:12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9"/>
      <c r="L525" s="88"/>
    </row>
    <row r="526" spans="1:12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9"/>
      <c r="L526" s="88"/>
    </row>
    <row r="527" spans="1:12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9"/>
      <c r="L527" s="88"/>
    </row>
    <row r="528" spans="1:12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9"/>
      <c r="L528" s="88"/>
    </row>
    <row r="529" spans="1:12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9"/>
      <c r="L529" s="88"/>
    </row>
    <row r="530" spans="1:12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9"/>
      <c r="L530" s="88"/>
    </row>
    <row r="531" spans="1:12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9"/>
      <c r="L531" s="88"/>
    </row>
    <row r="532" spans="1:1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9"/>
      <c r="L532" s="88"/>
    </row>
    <row r="533" spans="1:12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9"/>
      <c r="L533" s="88"/>
    </row>
    <row r="534" spans="1:12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9"/>
      <c r="L534" s="88"/>
    </row>
    <row r="535" spans="1:12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9"/>
      <c r="L535" s="88"/>
    </row>
    <row r="536" spans="1:12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9"/>
      <c r="L536" s="88"/>
    </row>
    <row r="537" spans="1:12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9"/>
      <c r="L537" s="88"/>
    </row>
    <row r="538" spans="1:12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9"/>
      <c r="L538" s="88"/>
    </row>
    <row r="539" spans="1:12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9"/>
      <c r="L539" s="88"/>
    </row>
    <row r="540" spans="1:12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9"/>
      <c r="L540" s="88"/>
    </row>
    <row r="541" spans="1:12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9"/>
      <c r="L541" s="88"/>
    </row>
    <row r="542" spans="1:1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9"/>
      <c r="L542" s="88"/>
    </row>
    <row r="543" spans="1:12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9"/>
      <c r="L543" s="88"/>
    </row>
    <row r="544" spans="1:12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9"/>
      <c r="L544" s="88"/>
    </row>
    <row r="545" spans="1:12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9"/>
      <c r="L545" s="88"/>
    </row>
    <row r="546" spans="1:12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9"/>
      <c r="L546" s="88"/>
    </row>
    <row r="547" spans="1:12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9"/>
      <c r="L547" s="88"/>
    </row>
    <row r="548" spans="1:12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9"/>
      <c r="L548" s="88"/>
    </row>
    <row r="549" spans="1:12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9"/>
      <c r="L549" s="88"/>
    </row>
    <row r="550" spans="1:12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9"/>
      <c r="L550" s="88"/>
    </row>
    <row r="551" spans="1:12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9"/>
      <c r="L551" s="88"/>
    </row>
    <row r="552" spans="1:1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9"/>
      <c r="L552" s="88"/>
    </row>
    <row r="553" spans="1:12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9"/>
      <c r="L553" s="88"/>
    </row>
    <row r="554" spans="1:12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9"/>
      <c r="L554" s="88"/>
    </row>
    <row r="555" spans="1:12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9"/>
      <c r="L555" s="88"/>
    </row>
    <row r="556" spans="1:12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9"/>
      <c r="L556" s="88"/>
    </row>
    <row r="557" spans="1:12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9"/>
      <c r="L557" s="88"/>
    </row>
    <row r="558" spans="1:12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9"/>
      <c r="L558" s="88"/>
    </row>
    <row r="559" spans="1:12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9"/>
      <c r="L559" s="88"/>
    </row>
    <row r="560" spans="1:12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9"/>
      <c r="L560" s="88"/>
    </row>
    <row r="561" spans="1:12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9"/>
      <c r="L561" s="88"/>
    </row>
    <row r="562" spans="1:1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9"/>
      <c r="L562" s="88"/>
    </row>
    <row r="563" spans="1:12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9"/>
      <c r="L563" s="88"/>
    </row>
    <row r="564" spans="1:12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9"/>
      <c r="L564" s="88"/>
    </row>
    <row r="565" spans="1:12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9"/>
      <c r="L565" s="88"/>
    </row>
    <row r="566" spans="1:12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9"/>
      <c r="L566" s="88"/>
    </row>
    <row r="567" spans="1:12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9"/>
      <c r="L567" s="88"/>
    </row>
    <row r="568" spans="1:12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9"/>
      <c r="L568" s="88"/>
    </row>
    <row r="569" spans="1:12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9"/>
      <c r="L569" s="88"/>
    </row>
    <row r="570" spans="1:12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9"/>
      <c r="L570" s="88"/>
    </row>
    <row r="571" spans="1:12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9"/>
      <c r="L571" s="88"/>
    </row>
    <row r="572" spans="1:1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9"/>
      <c r="L572" s="88"/>
    </row>
    <row r="573" spans="1:12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9"/>
      <c r="L573" s="88"/>
    </row>
    <row r="574" spans="1:12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9"/>
      <c r="L574" s="88"/>
    </row>
    <row r="575" spans="1:12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9"/>
      <c r="L575" s="88"/>
    </row>
    <row r="576" spans="1:12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9"/>
      <c r="L576" s="88"/>
    </row>
    <row r="577" spans="1:12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9"/>
      <c r="L577" s="88"/>
    </row>
    <row r="578" spans="1:12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9"/>
      <c r="L578" s="88"/>
    </row>
    <row r="579" spans="1:12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9"/>
      <c r="L579" s="88"/>
    </row>
    <row r="580" spans="1:12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9"/>
      <c r="L580" s="88"/>
    </row>
    <row r="581" spans="1:12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9"/>
      <c r="L581" s="88"/>
    </row>
    <row r="582" spans="1:1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9"/>
      <c r="L582" s="88"/>
    </row>
    <row r="583" spans="1:12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9"/>
      <c r="L583" s="88"/>
    </row>
    <row r="584" spans="1:12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9"/>
      <c r="L584" s="88"/>
    </row>
    <row r="585" spans="1:12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9"/>
      <c r="L585" s="88"/>
    </row>
    <row r="586" spans="1:12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9"/>
      <c r="L586" s="88"/>
    </row>
    <row r="587" spans="1:12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9"/>
      <c r="L587" s="88"/>
    </row>
    <row r="588" spans="1:12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9"/>
      <c r="L588" s="88"/>
    </row>
    <row r="589" spans="1:12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9"/>
      <c r="L589" s="88"/>
    </row>
    <row r="590" spans="1:12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9"/>
      <c r="L590" s="88"/>
    </row>
    <row r="591" spans="1:12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9"/>
      <c r="L591" s="88"/>
    </row>
    <row r="592" spans="1:1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9"/>
      <c r="L592" s="88"/>
    </row>
    <row r="593" spans="1:12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9"/>
      <c r="L593" s="88"/>
    </row>
    <row r="594" spans="1:12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9"/>
      <c r="L594" s="88"/>
    </row>
    <row r="595" spans="1:12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9"/>
      <c r="L595" s="88"/>
    </row>
    <row r="596" spans="1:12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9"/>
      <c r="L596" s="88"/>
    </row>
    <row r="597" spans="1:12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9"/>
      <c r="L597" s="88"/>
    </row>
    <row r="598" spans="1:12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9"/>
      <c r="L598" s="88"/>
    </row>
    <row r="599" spans="1:12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9"/>
      <c r="L599" s="88"/>
    </row>
    <row r="600" spans="1:12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9"/>
      <c r="L600" s="88"/>
    </row>
    <row r="601" spans="1:12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9"/>
      <c r="L601" s="88"/>
    </row>
    <row r="602" spans="1:1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9"/>
      <c r="L602" s="88"/>
    </row>
    <row r="603" spans="1:12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9"/>
      <c r="L603" s="88"/>
    </row>
    <row r="604" spans="1:12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9"/>
      <c r="L604" s="88"/>
    </row>
    <row r="605" spans="1:12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9"/>
      <c r="L605" s="88"/>
    </row>
    <row r="606" spans="1:12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9"/>
      <c r="L606" s="88"/>
    </row>
    <row r="607" spans="1:12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9"/>
      <c r="L607" s="88"/>
    </row>
    <row r="608" spans="1:12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9"/>
      <c r="L608" s="88"/>
    </row>
    <row r="609" spans="1:12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9"/>
      <c r="L609" s="88"/>
    </row>
    <row r="610" spans="1:12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9"/>
      <c r="L610" s="88"/>
    </row>
    <row r="611" spans="1:12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9"/>
      <c r="L611" s="88"/>
    </row>
    <row r="612" spans="1: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9"/>
      <c r="L612" s="88"/>
    </row>
    <row r="613" spans="1:12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9"/>
      <c r="L613" s="88"/>
    </row>
    <row r="614" spans="1:12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9"/>
      <c r="L614" s="88"/>
    </row>
    <row r="615" spans="1:12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9"/>
      <c r="L615" s="88"/>
    </row>
    <row r="616" spans="1:12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9"/>
      <c r="L616" s="88"/>
    </row>
    <row r="617" spans="1:12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9"/>
      <c r="L617" s="88"/>
    </row>
    <row r="618" spans="1:12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9"/>
      <c r="L618" s="88"/>
    </row>
    <row r="619" spans="1:12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9"/>
      <c r="L619" s="88"/>
    </row>
    <row r="620" spans="1:12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9"/>
      <c r="L620" s="88"/>
    </row>
    <row r="621" spans="1:12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9"/>
      <c r="L621" s="88"/>
    </row>
    <row r="622" spans="1:1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9"/>
      <c r="L622" s="88"/>
    </row>
    <row r="623" spans="1:12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9"/>
      <c r="L623" s="88"/>
    </row>
    <row r="624" spans="1:12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9"/>
      <c r="L624" s="88"/>
    </row>
    <row r="625" spans="1:12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9"/>
      <c r="L625" s="88"/>
    </row>
    <row r="626" spans="1:12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9"/>
      <c r="L626" s="88"/>
    </row>
    <row r="627" spans="1:12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9"/>
      <c r="L627" s="88"/>
    </row>
    <row r="628" spans="1:12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9"/>
      <c r="L628" s="88"/>
    </row>
    <row r="629" spans="1:12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9"/>
      <c r="L629" s="88"/>
    </row>
    <row r="630" spans="1:12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9"/>
      <c r="L630" s="88"/>
    </row>
    <row r="631" spans="1:12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9"/>
      <c r="L631" s="88"/>
    </row>
    <row r="632" spans="1:1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9"/>
      <c r="L632" s="88"/>
    </row>
    <row r="633" spans="1:12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9"/>
      <c r="L633" s="88"/>
    </row>
    <row r="634" spans="1:12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9"/>
      <c r="L634" s="88"/>
    </row>
    <row r="635" spans="1:12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9"/>
      <c r="L635" s="88"/>
    </row>
    <row r="636" spans="1:12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9"/>
      <c r="L636" s="88"/>
    </row>
    <row r="637" spans="1:12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9"/>
      <c r="L637" s="88"/>
    </row>
    <row r="638" spans="1:12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9"/>
      <c r="L638" s="88"/>
    </row>
    <row r="639" spans="1:12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9"/>
      <c r="L639" s="88"/>
    </row>
    <row r="640" spans="1:12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9"/>
      <c r="L640" s="88"/>
    </row>
    <row r="641" spans="1:12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9"/>
      <c r="L641" s="88"/>
    </row>
    <row r="642" spans="1:1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9"/>
      <c r="L642" s="88"/>
    </row>
    <row r="643" spans="1:12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9"/>
      <c r="L643" s="88"/>
    </row>
    <row r="644" spans="1:12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9"/>
      <c r="L644" s="88"/>
    </row>
    <row r="645" spans="1:12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9"/>
      <c r="L645" s="88"/>
    </row>
    <row r="646" spans="1:12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9"/>
      <c r="L646" s="88"/>
    </row>
    <row r="647" spans="1:12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9"/>
      <c r="L647" s="88"/>
    </row>
    <row r="648" spans="1:12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9"/>
      <c r="L648" s="88"/>
    </row>
    <row r="649" spans="1:12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9"/>
      <c r="L649" s="88"/>
    </row>
    <row r="650" spans="1:12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9"/>
      <c r="L650" s="88"/>
    </row>
    <row r="651" spans="1:12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9"/>
      <c r="L651" s="88"/>
    </row>
    <row r="652" spans="1:1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9"/>
      <c r="L652" s="88"/>
    </row>
    <row r="653" spans="1:12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9"/>
      <c r="L653" s="88"/>
    </row>
    <row r="654" spans="1:12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9"/>
      <c r="L654" s="88"/>
    </row>
    <row r="655" spans="1:12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9"/>
      <c r="L655" s="88"/>
    </row>
    <row r="656" spans="1:12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9"/>
      <c r="L656" s="88"/>
    </row>
    <row r="657" spans="1:12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9"/>
      <c r="L657" s="88"/>
    </row>
    <row r="658" spans="1:12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9"/>
      <c r="L658" s="88"/>
    </row>
    <row r="659" spans="1:12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9"/>
      <c r="L659" s="88"/>
    </row>
    <row r="660" spans="1:12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9"/>
      <c r="L660" s="88"/>
    </row>
    <row r="661" spans="1:12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9"/>
      <c r="L661" s="88"/>
    </row>
    <row r="662" spans="1:1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9"/>
      <c r="L662" s="88"/>
    </row>
    <row r="663" spans="1:12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9"/>
      <c r="L663" s="88"/>
    </row>
    <row r="664" spans="1:12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9"/>
      <c r="L664" s="88"/>
    </row>
    <row r="665" spans="1:12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9"/>
      <c r="L665" s="88"/>
    </row>
    <row r="666" spans="1:12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9"/>
      <c r="L666" s="88"/>
    </row>
    <row r="667" spans="1:12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9"/>
      <c r="L667" s="88"/>
    </row>
    <row r="668" spans="1:12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9"/>
      <c r="L668" s="88"/>
    </row>
    <row r="669" spans="1:12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9"/>
      <c r="L669" s="88"/>
    </row>
    <row r="670" spans="1:12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9"/>
      <c r="L670" s="88"/>
    </row>
    <row r="671" spans="1:12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9"/>
      <c r="L671" s="88"/>
    </row>
    <row r="672" spans="1:1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9"/>
      <c r="L672" s="88"/>
    </row>
    <row r="673" spans="1:12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9"/>
      <c r="L673" s="88"/>
    </row>
    <row r="674" spans="1:12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9"/>
      <c r="L674" s="88"/>
    </row>
    <row r="675" spans="1:12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9"/>
      <c r="L675" s="88"/>
    </row>
    <row r="676" spans="1:12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9"/>
      <c r="L676" s="88"/>
    </row>
    <row r="677" spans="1:12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9"/>
      <c r="L677" s="88"/>
    </row>
    <row r="678" spans="1:12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9"/>
      <c r="L678" s="88"/>
    </row>
    <row r="679" spans="1:12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9"/>
      <c r="L679" s="88"/>
    </row>
    <row r="680" spans="1:12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9"/>
      <c r="L680" s="88"/>
    </row>
    <row r="681" spans="1:12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9"/>
      <c r="L681" s="88"/>
    </row>
    <row r="682" spans="1:1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9"/>
      <c r="L682" s="88"/>
    </row>
    <row r="683" spans="1:12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9"/>
      <c r="L683" s="88"/>
    </row>
    <row r="684" spans="1:12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9"/>
      <c r="L684" s="88"/>
    </row>
    <row r="685" spans="1:12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9"/>
      <c r="L685" s="88"/>
    </row>
    <row r="686" spans="1:12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9"/>
      <c r="L686" s="88"/>
    </row>
    <row r="687" spans="1:12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9"/>
      <c r="L687" s="88"/>
    </row>
    <row r="688" spans="1:12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9"/>
      <c r="L688" s="88"/>
    </row>
    <row r="689" spans="1:12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9"/>
      <c r="L689" s="88"/>
    </row>
    <row r="690" spans="1:12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9"/>
      <c r="L690" s="88"/>
    </row>
    <row r="691" spans="1:12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9"/>
      <c r="L691" s="88"/>
    </row>
    <row r="692" spans="1:1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9"/>
      <c r="L692" s="88"/>
    </row>
    <row r="693" spans="1:12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9"/>
      <c r="L693" s="88"/>
    </row>
    <row r="694" spans="1:12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9"/>
      <c r="L694" s="88"/>
    </row>
    <row r="695" spans="1:12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9"/>
      <c r="L695" s="88"/>
    </row>
    <row r="696" spans="1:12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9"/>
      <c r="L696" s="88"/>
    </row>
    <row r="697" spans="1:12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9"/>
      <c r="L697" s="88"/>
    </row>
    <row r="698" spans="1:12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9"/>
      <c r="L698" s="88"/>
    </row>
    <row r="699" spans="1:12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9"/>
      <c r="L699" s="88"/>
    </row>
    <row r="700" spans="1:12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9"/>
      <c r="L700" s="88"/>
    </row>
    <row r="701" spans="1:12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9"/>
      <c r="L701" s="88"/>
    </row>
    <row r="702" spans="1:1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9"/>
      <c r="L702" s="88"/>
    </row>
    <row r="703" spans="1:12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9"/>
      <c r="L703" s="88"/>
    </row>
    <row r="704" spans="1:12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9"/>
      <c r="L704" s="88"/>
    </row>
    <row r="705" spans="1:12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9"/>
      <c r="L705" s="88"/>
    </row>
    <row r="706" spans="1:12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9"/>
      <c r="L706" s="88"/>
    </row>
    <row r="707" spans="1:12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9"/>
      <c r="L707" s="88"/>
    </row>
    <row r="708" spans="1:12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9"/>
      <c r="L708" s="88"/>
    </row>
    <row r="709" spans="1:12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9"/>
      <c r="L709" s="88"/>
    </row>
    <row r="710" spans="1:12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9"/>
      <c r="L710" s="88"/>
    </row>
    <row r="711" spans="1:12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9"/>
      <c r="L711" s="88"/>
    </row>
    <row r="712" spans="1: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9"/>
      <c r="L712" s="88"/>
    </row>
    <row r="713" spans="1:12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9"/>
      <c r="L713" s="88"/>
    </row>
    <row r="714" spans="1:12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9"/>
      <c r="L714" s="88"/>
    </row>
    <row r="715" spans="1:12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9"/>
      <c r="L715" s="88"/>
    </row>
    <row r="716" spans="1:12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9"/>
      <c r="L716" s="88"/>
    </row>
    <row r="717" spans="1:12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9"/>
      <c r="L717" s="88"/>
    </row>
    <row r="718" spans="1:12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9"/>
      <c r="L718" s="88"/>
    </row>
    <row r="719" spans="1:12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9"/>
      <c r="L719" s="88"/>
    </row>
    <row r="720" spans="1:12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9"/>
      <c r="L720" s="88"/>
    </row>
    <row r="721" spans="1:12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9"/>
      <c r="L721" s="88"/>
    </row>
    <row r="722" spans="1:1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9"/>
      <c r="L722" s="88"/>
    </row>
    <row r="723" spans="1:12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9"/>
      <c r="L723" s="88"/>
    </row>
    <row r="724" spans="1:12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9"/>
      <c r="L724" s="88"/>
    </row>
    <row r="725" spans="1:12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9"/>
      <c r="L725" s="88"/>
    </row>
    <row r="726" spans="1:12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9"/>
      <c r="L726" s="88"/>
    </row>
    <row r="727" spans="1:12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9"/>
      <c r="L727" s="88"/>
    </row>
    <row r="728" spans="1:12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9"/>
      <c r="L728" s="88"/>
    </row>
    <row r="729" spans="1:12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9"/>
      <c r="L729" s="88"/>
    </row>
    <row r="730" spans="1:12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9"/>
      <c r="L730" s="88"/>
    </row>
    <row r="731" spans="1:12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9"/>
      <c r="L731" s="88"/>
    </row>
    <row r="732" spans="1:1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9"/>
      <c r="L732" s="88"/>
    </row>
    <row r="733" spans="1:12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9"/>
      <c r="L733" s="88"/>
    </row>
    <row r="734" spans="1:12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9"/>
      <c r="L734" s="88"/>
    </row>
    <row r="735" spans="1:12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9"/>
      <c r="L735" s="88"/>
    </row>
    <row r="736" spans="1:12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9"/>
      <c r="L736" s="88"/>
    </row>
    <row r="737" spans="1:12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9"/>
      <c r="L737" s="88"/>
    </row>
    <row r="738" spans="1:12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9"/>
      <c r="L738" s="88"/>
    </row>
    <row r="739" spans="1:12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9"/>
      <c r="L739" s="88"/>
    </row>
    <row r="740" spans="1:12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9"/>
      <c r="L740" s="88"/>
    </row>
    <row r="741" spans="1:12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9"/>
      <c r="L741" s="88"/>
    </row>
    <row r="742" spans="1:1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9"/>
      <c r="L742" s="88"/>
    </row>
    <row r="743" spans="1:12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9"/>
      <c r="L743" s="88"/>
    </row>
    <row r="744" spans="1:12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9"/>
      <c r="L744" s="88"/>
    </row>
    <row r="745" spans="1:12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9"/>
      <c r="L745" s="88"/>
    </row>
    <row r="746" spans="1:12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9"/>
      <c r="L746" s="88"/>
    </row>
    <row r="747" spans="1:12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9"/>
      <c r="L747" s="88"/>
    </row>
    <row r="748" spans="1:12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9"/>
      <c r="L748" s="88"/>
    </row>
    <row r="749" spans="1:12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9"/>
      <c r="L749" s="88"/>
    </row>
    <row r="750" spans="1:12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9"/>
      <c r="L750" s="88"/>
    </row>
    <row r="751" spans="1:12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9"/>
      <c r="L751" s="88"/>
    </row>
    <row r="752" spans="1:1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9"/>
      <c r="L752" s="88"/>
    </row>
    <row r="753" spans="1:12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9"/>
      <c r="L753" s="88"/>
    </row>
    <row r="754" spans="1:12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9"/>
      <c r="L754" s="88"/>
    </row>
    <row r="755" spans="1:12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9"/>
      <c r="L755" s="88"/>
    </row>
    <row r="756" spans="1:12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9"/>
      <c r="L756" s="88"/>
    </row>
    <row r="757" spans="1:12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9"/>
      <c r="L757" s="88"/>
    </row>
    <row r="758" spans="1:12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9"/>
      <c r="L758" s="88"/>
    </row>
    <row r="759" spans="1:12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9"/>
      <c r="L759" s="88"/>
    </row>
    <row r="760" spans="1:12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9"/>
      <c r="L760" s="88"/>
    </row>
    <row r="761" spans="1:12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9"/>
      <c r="L761" s="88"/>
    </row>
    <row r="762" spans="1:1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9"/>
      <c r="L762" s="88"/>
    </row>
    <row r="763" spans="1:12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9"/>
      <c r="L763" s="88"/>
    </row>
    <row r="764" spans="1:12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9"/>
      <c r="L764" s="88"/>
    </row>
    <row r="765" spans="1:12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9"/>
      <c r="L765" s="88"/>
    </row>
    <row r="766" spans="1:12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9"/>
      <c r="L766" s="88"/>
    </row>
    <row r="767" spans="1:12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9"/>
      <c r="L767" s="88"/>
    </row>
    <row r="768" spans="1:12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9"/>
      <c r="L768" s="88"/>
    </row>
    <row r="769" spans="1:12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9"/>
      <c r="L769" s="88"/>
    </row>
    <row r="770" spans="1:12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9"/>
      <c r="L770" s="88"/>
    </row>
    <row r="771" spans="1:12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9"/>
      <c r="L771" s="88"/>
    </row>
    <row r="772" spans="1:1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9"/>
      <c r="L772" s="88"/>
    </row>
    <row r="773" spans="1:12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9"/>
      <c r="L773" s="88"/>
    </row>
    <row r="774" spans="1:12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9"/>
      <c r="L774" s="88"/>
    </row>
    <row r="775" spans="1:12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9"/>
      <c r="L775" s="88"/>
    </row>
    <row r="776" spans="1:12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9"/>
      <c r="L776" s="88"/>
    </row>
    <row r="777" spans="1:12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9"/>
      <c r="L777" s="88"/>
    </row>
    <row r="778" spans="1:12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9"/>
      <c r="L778" s="88"/>
    </row>
    <row r="779" spans="1:12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9"/>
      <c r="L779" s="88"/>
    </row>
    <row r="780" spans="1:12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9"/>
      <c r="L780" s="88"/>
    </row>
    <row r="781" spans="1:12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9"/>
      <c r="L781" s="88"/>
    </row>
    <row r="782" spans="1:1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9"/>
      <c r="L782" s="88"/>
    </row>
    <row r="783" spans="1:12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9"/>
      <c r="L783" s="88"/>
    </row>
    <row r="784" spans="1:12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9"/>
      <c r="L784" s="88"/>
    </row>
    <row r="785" spans="1:12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9"/>
      <c r="L785" s="88"/>
    </row>
    <row r="786" spans="1:12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9"/>
      <c r="L786" s="88"/>
    </row>
    <row r="787" spans="1:12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9"/>
      <c r="L787" s="88"/>
    </row>
    <row r="788" spans="1:12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9"/>
      <c r="L788" s="88"/>
    </row>
    <row r="789" spans="1:12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9"/>
      <c r="L789" s="88"/>
    </row>
    <row r="790" spans="1:12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9"/>
      <c r="L790" s="88"/>
    </row>
    <row r="791" spans="1:12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9"/>
      <c r="L791" s="88"/>
    </row>
    <row r="792" spans="1:1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9"/>
      <c r="L792" s="88"/>
    </row>
    <row r="793" spans="1:12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9"/>
      <c r="L793" s="88"/>
    </row>
    <row r="794" spans="1:12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9"/>
      <c r="L794" s="88"/>
    </row>
    <row r="795" spans="1:12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9"/>
      <c r="L795" s="88"/>
    </row>
    <row r="796" spans="1:12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9"/>
      <c r="L796" s="88"/>
    </row>
    <row r="797" spans="1:12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9"/>
      <c r="L797" s="88"/>
    </row>
    <row r="798" spans="1:12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9"/>
      <c r="L798" s="88"/>
    </row>
    <row r="799" spans="1:12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9"/>
      <c r="L799" s="88"/>
    </row>
    <row r="800" spans="1:12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9"/>
      <c r="L800" s="88"/>
    </row>
    <row r="801" spans="1:12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9"/>
      <c r="L801" s="88"/>
    </row>
    <row r="802" spans="1:1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9"/>
      <c r="L802" s="88"/>
    </row>
    <row r="803" spans="1:12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9"/>
      <c r="L803" s="88"/>
    </row>
    <row r="804" spans="1:12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9"/>
      <c r="L804" s="88"/>
    </row>
    <row r="805" spans="1:12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9"/>
      <c r="L805" s="88"/>
    </row>
    <row r="806" spans="1:12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9"/>
      <c r="L806" s="88"/>
    </row>
    <row r="807" spans="1:12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9"/>
      <c r="L807" s="88"/>
    </row>
    <row r="808" spans="1:12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9"/>
      <c r="L808" s="88"/>
    </row>
    <row r="809" spans="1:12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9"/>
      <c r="L809" s="88"/>
    </row>
    <row r="810" spans="1:12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9"/>
      <c r="L810" s="88"/>
    </row>
    <row r="811" spans="1:12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9"/>
      <c r="L811" s="88"/>
    </row>
    <row r="812" spans="1: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9"/>
      <c r="L812" s="88"/>
    </row>
    <row r="813" spans="1:12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9"/>
      <c r="L813" s="88"/>
    </row>
    <row r="814" spans="1:12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9"/>
      <c r="L814" s="88"/>
    </row>
    <row r="815" spans="1:12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9"/>
      <c r="L815" s="88"/>
    </row>
    <row r="816" spans="1:12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9"/>
      <c r="L816" s="88"/>
    </row>
    <row r="817" spans="1:12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9"/>
      <c r="L817" s="88"/>
    </row>
    <row r="818" spans="1:12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9"/>
      <c r="L818" s="88"/>
    </row>
    <row r="819" spans="1:12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9"/>
      <c r="L819" s="88"/>
    </row>
    <row r="820" spans="1:12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9"/>
      <c r="L820" s="88"/>
    </row>
    <row r="821" spans="1:12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9"/>
      <c r="L821" s="88"/>
    </row>
    <row r="822" spans="1:1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9"/>
      <c r="L822" s="88"/>
    </row>
    <row r="823" spans="1:12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9"/>
      <c r="L823" s="88"/>
    </row>
    <row r="824" spans="1:12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9"/>
      <c r="L824" s="88"/>
    </row>
    <row r="825" spans="1:12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9"/>
      <c r="L825" s="88"/>
    </row>
    <row r="826" spans="1:12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9"/>
      <c r="L826" s="88"/>
    </row>
    <row r="827" spans="1:12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9"/>
      <c r="L827" s="88"/>
    </row>
    <row r="828" spans="1:12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9"/>
      <c r="L828" s="88"/>
    </row>
    <row r="829" spans="1:12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9"/>
      <c r="L829" s="88"/>
    </row>
    <row r="830" spans="1:12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9"/>
      <c r="L830" s="88"/>
    </row>
    <row r="831" spans="1:12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9"/>
      <c r="L831" s="88"/>
    </row>
    <row r="832" spans="1:1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9"/>
      <c r="L832" s="88"/>
    </row>
    <row r="833" spans="1:12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9"/>
      <c r="L833" s="88"/>
    </row>
    <row r="834" spans="1:12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9"/>
      <c r="L834" s="88"/>
    </row>
    <row r="835" spans="1:12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9"/>
      <c r="L835" s="88"/>
    </row>
    <row r="836" spans="1:12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9"/>
      <c r="L836" s="88"/>
    </row>
    <row r="837" spans="1:12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9"/>
      <c r="L837" s="88"/>
    </row>
    <row r="838" spans="1:12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9"/>
      <c r="L838" s="88"/>
    </row>
    <row r="839" spans="1:12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9"/>
      <c r="L839" s="88"/>
    </row>
    <row r="840" spans="1:12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9"/>
      <c r="L840" s="88"/>
    </row>
    <row r="841" spans="1:12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9"/>
      <c r="L841" s="88"/>
    </row>
    <row r="842" spans="1:1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9"/>
      <c r="L842" s="88"/>
    </row>
    <row r="843" spans="1:12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9"/>
      <c r="L843" s="88"/>
    </row>
    <row r="844" spans="1:12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9"/>
      <c r="L844" s="88"/>
    </row>
    <row r="845" spans="1:12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9"/>
      <c r="L845" s="88"/>
    </row>
    <row r="846" spans="1:12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9"/>
      <c r="L846" s="88"/>
    </row>
    <row r="847" spans="1:12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9"/>
      <c r="L847" s="88"/>
    </row>
    <row r="848" spans="1:12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9"/>
      <c r="L848" s="88"/>
    </row>
    <row r="849" spans="1:12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9"/>
      <c r="L849" s="88"/>
    </row>
    <row r="850" spans="1:12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9"/>
      <c r="L850" s="88"/>
    </row>
    <row r="851" spans="1:12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9"/>
      <c r="L851" s="88"/>
    </row>
    <row r="852" spans="1:1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9"/>
      <c r="L852" s="88"/>
    </row>
    <row r="853" spans="1:12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9"/>
      <c r="L853" s="88"/>
    </row>
    <row r="854" spans="1:12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9"/>
      <c r="L854" s="88"/>
    </row>
    <row r="855" spans="1:12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9"/>
      <c r="L855" s="88"/>
    </row>
    <row r="856" spans="1:12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9"/>
      <c r="L856" s="88"/>
    </row>
    <row r="857" spans="1:12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9"/>
      <c r="L857" s="88"/>
    </row>
    <row r="858" spans="1:12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9"/>
      <c r="L858" s="88"/>
    </row>
    <row r="859" spans="1:12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9"/>
      <c r="L859" s="88"/>
    </row>
    <row r="860" spans="1:12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9"/>
      <c r="L860" s="88"/>
    </row>
    <row r="861" spans="1:12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9"/>
      <c r="L861" s="88"/>
    </row>
    <row r="862" spans="1:1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9"/>
      <c r="L862" s="88"/>
    </row>
    <row r="863" spans="1:12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9"/>
      <c r="L863" s="88"/>
    </row>
    <row r="864" spans="1:12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9"/>
      <c r="L864" s="88"/>
    </row>
    <row r="865" spans="1:12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9"/>
      <c r="L865" s="88"/>
    </row>
    <row r="866" spans="1:12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9"/>
      <c r="L866" s="88"/>
    </row>
    <row r="867" spans="1:12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9"/>
      <c r="L867" s="88"/>
    </row>
    <row r="868" spans="1:12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9"/>
      <c r="L868" s="88"/>
    </row>
    <row r="869" spans="1:12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9"/>
      <c r="L869" s="88"/>
    </row>
    <row r="870" spans="1:12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9"/>
      <c r="L870" s="88"/>
    </row>
    <row r="871" spans="1:12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9"/>
      <c r="L871" s="88"/>
    </row>
    <row r="872" spans="1:1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9"/>
      <c r="L872" s="88"/>
    </row>
    <row r="873" spans="1:12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9"/>
      <c r="L873" s="88"/>
    </row>
    <row r="874" spans="1:12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9"/>
      <c r="L874" s="88"/>
    </row>
    <row r="875" spans="1:12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9"/>
      <c r="L875" s="88"/>
    </row>
    <row r="876" spans="1:12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9"/>
      <c r="L876" s="88"/>
    </row>
    <row r="877" spans="1:12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9"/>
      <c r="L877" s="88"/>
    </row>
    <row r="878" spans="1:12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9"/>
      <c r="L878" s="88"/>
    </row>
    <row r="879" spans="1:12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9"/>
      <c r="L879" s="88"/>
    </row>
    <row r="880" spans="1:12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9"/>
      <c r="L880" s="88"/>
    </row>
    <row r="881" spans="1:12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9"/>
      <c r="L881" s="88"/>
    </row>
    <row r="882" spans="1:1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9"/>
      <c r="L882" s="88"/>
    </row>
    <row r="883" spans="1:12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9"/>
      <c r="L883" s="88"/>
    </row>
    <row r="884" spans="1:12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9"/>
      <c r="L884" s="88"/>
    </row>
    <row r="885" spans="1:12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9"/>
      <c r="L885" s="88"/>
    </row>
    <row r="886" spans="1:12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9"/>
      <c r="L886" s="88"/>
    </row>
    <row r="887" spans="1:12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9"/>
      <c r="L887" s="88"/>
    </row>
    <row r="888" spans="1:12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9"/>
      <c r="L888" s="88"/>
    </row>
    <row r="889" spans="1:12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9"/>
      <c r="L889" s="88"/>
    </row>
    <row r="890" spans="1:12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9"/>
      <c r="L890" s="88"/>
    </row>
    <row r="891" spans="1:12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9"/>
      <c r="L891" s="88"/>
    </row>
    <row r="892" spans="1:1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9"/>
      <c r="L892" s="88"/>
    </row>
    <row r="893" spans="1:12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9"/>
      <c r="L893" s="88"/>
    </row>
    <row r="894" spans="1:12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9"/>
      <c r="L894" s="88"/>
    </row>
    <row r="895" spans="1:12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9"/>
      <c r="L895" s="88"/>
    </row>
    <row r="896" spans="1:12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9"/>
      <c r="L896" s="88"/>
    </row>
    <row r="897" spans="1:12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9"/>
      <c r="L897" s="88"/>
    </row>
    <row r="898" spans="1:12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9"/>
      <c r="L898" s="88"/>
    </row>
    <row r="899" spans="1:12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9"/>
      <c r="L899" s="88"/>
    </row>
    <row r="900" spans="1:12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9"/>
      <c r="L900" s="88"/>
    </row>
    <row r="901" spans="1:12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9"/>
      <c r="L901" s="88"/>
    </row>
    <row r="902" spans="1:1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9"/>
      <c r="L902" s="88"/>
    </row>
    <row r="903" spans="1:12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9"/>
      <c r="L903" s="88"/>
    </row>
    <row r="904" spans="1:12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9"/>
      <c r="L904" s="88"/>
    </row>
    <row r="905" spans="1:12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9"/>
      <c r="L905" s="88"/>
    </row>
    <row r="906" spans="1:12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9"/>
      <c r="L906" s="88"/>
    </row>
    <row r="907" spans="1:12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9"/>
      <c r="L907" s="88"/>
    </row>
    <row r="908" spans="1:12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9"/>
      <c r="L908" s="88"/>
    </row>
    <row r="909" spans="1:12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9"/>
      <c r="L909" s="88"/>
    </row>
    <row r="910" spans="1:12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9"/>
      <c r="L910" s="88"/>
    </row>
    <row r="911" spans="1:12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9"/>
      <c r="L911" s="88"/>
    </row>
    <row r="912" spans="1: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9"/>
      <c r="L912" s="88"/>
    </row>
    <row r="913" spans="1:12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9"/>
      <c r="L913" s="88"/>
    </row>
    <row r="914" spans="1:12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9"/>
      <c r="L914" s="88"/>
    </row>
    <row r="915" spans="1:12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9"/>
      <c r="L915" s="88"/>
    </row>
    <row r="916" spans="1:12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9"/>
      <c r="L916" s="88"/>
    </row>
    <row r="917" spans="1:12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9"/>
      <c r="L917" s="88"/>
    </row>
    <row r="918" spans="1:12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9"/>
      <c r="L918" s="88"/>
    </row>
    <row r="919" spans="1:12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9"/>
      <c r="L919" s="88"/>
    </row>
    <row r="920" spans="1:12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9"/>
      <c r="L920" s="88"/>
    </row>
    <row r="921" spans="1:12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9"/>
      <c r="L921" s="88"/>
    </row>
    <row r="922" spans="1:1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9"/>
      <c r="L922" s="88"/>
    </row>
    <row r="923" spans="1:12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9"/>
      <c r="L923" s="88"/>
    </row>
    <row r="924" spans="1:12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9"/>
      <c r="L924" s="88"/>
    </row>
    <row r="925" spans="1:12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9"/>
      <c r="L925" s="88"/>
    </row>
    <row r="926" spans="1:12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9"/>
      <c r="L926" s="88"/>
    </row>
    <row r="927" spans="1:12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9"/>
      <c r="L927" s="88"/>
    </row>
    <row r="928" spans="1:12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9"/>
      <c r="L928" s="88"/>
    </row>
    <row r="929" spans="1:12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9"/>
      <c r="L929" s="88"/>
    </row>
    <row r="930" spans="1:12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9"/>
      <c r="L930" s="88"/>
    </row>
    <row r="931" spans="1:12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9"/>
      <c r="L931" s="88"/>
    </row>
    <row r="932" spans="1:1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9"/>
      <c r="L932" s="88"/>
    </row>
    <row r="933" spans="1:12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9"/>
      <c r="L933" s="88"/>
    </row>
    <row r="934" spans="1:12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9"/>
      <c r="L934" s="88"/>
    </row>
    <row r="935" spans="1:12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9"/>
      <c r="L935" s="88"/>
    </row>
    <row r="936" spans="1:12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9"/>
      <c r="L936" s="88"/>
    </row>
    <row r="937" spans="1:12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9"/>
      <c r="L937" s="88"/>
    </row>
    <row r="938" spans="1:12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9"/>
      <c r="L938" s="88"/>
    </row>
    <row r="939" spans="1:12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9"/>
      <c r="L939" s="88"/>
    </row>
    <row r="940" spans="1:12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9"/>
      <c r="L940" s="88"/>
    </row>
    <row r="941" spans="1:12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9"/>
      <c r="L941" s="88"/>
    </row>
    <row r="942" spans="1:1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9"/>
      <c r="L942" s="88"/>
    </row>
    <row r="943" spans="1:12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9"/>
      <c r="L943" s="88"/>
    </row>
    <row r="944" spans="1:12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9"/>
      <c r="L944" s="88"/>
    </row>
    <row r="945" spans="1:12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9"/>
      <c r="L945" s="88"/>
    </row>
    <row r="946" spans="1:12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9"/>
      <c r="L946" s="88"/>
    </row>
    <row r="947" spans="1:12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9"/>
      <c r="L947" s="88"/>
    </row>
    <row r="948" spans="1:12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9"/>
      <c r="L948" s="88"/>
    </row>
    <row r="949" spans="1:12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9"/>
      <c r="L949" s="88"/>
    </row>
    <row r="950" spans="1:12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9"/>
      <c r="L950" s="88"/>
    </row>
    <row r="951" spans="1:12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9"/>
      <c r="L951" s="88"/>
    </row>
    <row r="952" spans="1:1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9"/>
      <c r="L952" s="88"/>
    </row>
    <row r="953" spans="1:12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9"/>
      <c r="L953" s="88"/>
    </row>
    <row r="954" spans="1:12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9"/>
      <c r="L954" s="88"/>
    </row>
    <row r="955" spans="1:12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9"/>
      <c r="L955" s="88"/>
    </row>
    <row r="956" spans="1:12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9"/>
      <c r="L956" s="88"/>
    </row>
    <row r="957" spans="1:12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9"/>
      <c r="L957" s="88"/>
    </row>
    <row r="958" spans="1:12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9"/>
      <c r="L958" s="88"/>
    </row>
    <row r="959" spans="1:12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9"/>
      <c r="L959" s="88"/>
    </row>
    <row r="960" spans="1:12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9"/>
      <c r="L960" s="88"/>
    </row>
    <row r="961" spans="1:12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9"/>
      <c r="L961" s="88"/>
    </row>
    <row r="962" spans="1:1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9"/>
      <c r="L962" s="88"/>
    </row>
    <row r="963" spans="1:12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9"/>
      <c r="L963" s="88"/>
    </row>
    <row r="964" spans="1:12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9"/>
      <c r="L964" s="88"/>
    </row>
    <row r="965" spans="1:12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9"/>
      <c r="L965" s="88"/>
    </row>
    <row r="966" spans="1:12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9"/>
      <c r="L966" s="88"/>
    </row>
    <row r="967" spans="1:12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9"/>
      <c r="L967" s="88"/>
    </row>
    <row r="968" spans="1:12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9"/>
      <c r="L968" s="88"/>
    </row>
    <row r="969" spans="1:12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9"/>
      <c r="L969" s="88"/>
    </row>
    <row r="970" spans="1:12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9"/>
      <c r="L970" s="88"/>
    </row>
    <row r="971" spans="1:12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9"/>
      <c r="L971" s="88"/>
    </row>
    <row r="972" spans="1:1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9"/>
      <c r="L972" s="88"/>
    </row>
    <row r="973" spans="1:12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9"/>
      <c r="L973" s="88"/>
    </row>
    <row r="974" spans="1:12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9"/>
      <c r="L974" s="88"/>
    </row>
    <row r="975" spans="1:12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9"/>
      <c r="L975" s="88"/>
    </row>
    <row r="976" spans="1:12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9"/>
      <c r="L976" s="88"/>
    </row>
    <row r="977" spans="1:12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9"/>
      <c r="L977" s="88"/>
    </row>
    <row r="978" spans="1:12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9"/>
      <c r="L978" s="88"/>
    </row>
    <row r="979" spans="1:12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9"/>
      <c r="L979" s="88"/>
    </row>
    <row r="980" spans="1:12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9"/>
      <c r="L980" s="88"/>
    </row>
    <row r="981" spans="1:12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9"/>
      <c r="L981" s="88"/>
    </row>
    <row r="982" spans="1:1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9"/>
      <c r="L982" s="88"/>
    </row>
    <row r="983" spans="1:12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9"/>
      <c r="L983" s="88"/>
    </row>
    <row r="984" spans="1:12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9"/>
      <c r="L984" s="88"/>
    </row>
    <row r="985" spans="1:12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9"/>
      <c r="L985" s="88"/>
    </row>
    <row r="986" spans="1:12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9"/>
      <c r="L986" s="88"/>
    </row>
    <row r="987" spans="1:12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9"/>
      <c r="L987" s="88"/>
    </row>
    <row r="988" spans="1:12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9"/>
      <c r="L988" s="88"/>
    </row>
    <row r="989" spans="1:12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9"/>
      <c r="L989" s="88"/>
    </row>
    <row r="990" spans="1:12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9"/>
      <c r="L990" s="88"/>
    </row>
    <row r="991" spans="1:12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9"/>
      <c r="L991" s="88"/>
    </row>
    <row r="992" spans="1:1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9"/>
      <c r="L992" s="88"/>
    </row>
    <row r="993" spans="1:12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9"/>
      <c r="L993" s="88"/>
    </row>
  </sheetData>
  <mergeCells count="33">
    <mergeCell ref="A28:E28"/>
    <mergeCell ref="F28:G28"/>
    <mergeCell ref="K28:L28"/>
    <mergeCell ref="F24:G24"/>
    <mergeCell ref="K24:L24"/>
    <mergeCell ref="A3:F3"/>
    <mergeCell ref="K3:L3"/>
    <mergeCell ref="A11:F11"/>
    <mergeCell ref="K11:L11"/>
    <mergeCell ref="A13:F13"/>
    <mergeCell ref="K13:L13"/>
    <mergeCell ref="A24:E24"/>
    <mergeCell ref="A30:E30"/>
    <mergeCell ref="F30:G30"/>
    <mergeCell ref="K30:L30"/>
    <mergeCell ref="A39:E39"/>
    <mergeCell ref="F39:G39"/>
    <mergeCell ref="K39:L39"/>
    <mergeCell ref="A80:F80"/>
    <mergeCell ref="K80:L80"/>
    <mergeCell ref="A56:F56"/>
    <mergeCell ref="A58:E58"/>
    <mergeCell ref="F58:G58"/>
    <mergeCell ref="K58:L58"/>
    <mergeCell ref="A61:E61"/>
    <mergeCell ref="F61:G61"/>
    <mergeCell ref="K61:L61"/>
    <mergeCell ref="K56:L56"/>
    <mergeCell ref="A68:E68"/>
    <mergeCell ref="F68:G68"/>
    <mergeCell ref="K68:L68"/>
    <mergeCell ref="A78:F78"/>
    <mergeCell ref="K78:L78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Modbus</vt:lpstr>
      <vt:lpstr>Register_map_ECU</vt:lpstr>
      <vt:lpstr>Register_map_DPCB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서호준</cp:lastModifiedBy>
  <dcterms:modified xsi:type="dcterms:W3CDTF">2026-06-25T07:33:21Z</dcterms:modified>
</cp:coreProperties>
</file>